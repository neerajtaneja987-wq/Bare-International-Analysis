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Naman\Desktop\Coachx Projects\"/>
    </mc:Choice>
  </mc:AlternateContent>
  <xr:revisionPtr revIDLastSave="0" documentId="13_ncr:1_{C6D06F0D-6F28-4C8B-90AB-928FB344BA3F}" xr6:coauthVersionLast="47" xr6:coauthVersionMax="47" xr10:uidLastSave="{00000000-0000-0000-0000-000000000000}"/>
  <bookViews>
    <workbookView xWindow="-108" yWindow="-108" windowWidth="23256" windowHeight="12456" tabRatio="699" activeTab="8" xr2:uid="{00000000-000D-0000-FFFF-FFFF00000000}"/>
  </bookViews>
  <sheets>
    <sheet name="CX_Junior BI Analyst_Test" sheetId="2" r:id="rId1"/>
    <sheet name="Qs)Part-3" sheetId="6" r:id="rId2"/>
    <sheet name="Qs)Part-4 Visualizations-1" sheetId="7" r:id="rId3"/>
    <sheet name="Average Evaluation Score by Zon" sheetId="8" r:id="rId4"/>
    <sheet name="Performance Grade" sheetId="9" r:id="rId5"/>
    <sheet name="percentage of high performer" sheetId="11" r:id="rId6"/>
    <sheet name="Evaluation score over time" sheetId="12" r:id="rId7"/>
    <sheet name="Heatmap " sheetId="13" r:id="rId8"/>
    <sheet name="grade performance comparision" sheetId="14" r:id="rId9"/>
  </sheets>
  <calcPr calcId="191029"/>
  <pivotCaches>
    <pivotCache cacheId="0" r:id="rId10"/>
    <pivotCache cacheId="1" r:id="rId11"/>
    <pivotCache cacheId="2" r:id="rId12"/>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E3" i="2" l="1"/>
  <c r="CE4" i="2"/>
  <c r="CE5" i="2"/>
  <c r="CE6" i="2"/>
  <c r="CE7" i="2"/>
  <c r="CE8" i="2"/>
  <c r="CE9" i="2"/>
  <c r="CE10" i="2"/>
  <c r="CE11" i="2"/>
  <c r="CE12" i="2"/>
  <c r="CE13" i="2"/>
  <c r="CE14" i="2"/>
  <c r="CE15" i="2"/>
  <c r="CE16" i="2"/>
  <c r="CE17" i="2"/>
  <c r="CE18" i="2"/>
  <c r="CE19" i="2"/>
  <c r="CE20" i="2"/>
  <c r="CE21" i="2"/>
  <c r="CE22" i="2"/>
  <c r="CE23" i="2"/>
  <c r="CE24" i="2"/>
  <c r="CE25" i="2"/>
  <c r="CE26" i="2"/>
  <c r="CE27" i="2"/>
  <c r="CE28" i="2"/>
  <c r="CE29" i="2"/>
  <c r="CE30" i="2"/>
  <c r="CE31" i="2"/>
  <c r="CE32" i="2"/>
  <c r="CE33" i="2"/>
  <c r="CE34" i="2"/>
  <c r="CE35" i="2"/>
  <c r="CE36" i="2"/>
  <c r="CE37" i="2"/>
  <c r="CE38" i="2"/>
  <c r="CE39" i="2"/>
  <c r="CE40" i="2"/>
  <c r="CE41" i="2"/>
  <c r="CE42" i="2"/>
  <c r="CE43" i="2"/>
  <c r="CE44" i="2"/>
  <c r="CE45" i="2"/>
  <c r="CE46" i="2"/>
  <c r="CE47" i="2"/>
  <c r="CE48" i="2"/>
  <c r="CE49" i="2"/>
  <c r="CE50" i="2"/>
  <c r="CE51" i="2"/>
  <c r="CE52" i="2"/>
  <c r="CE53" i="2"/>
  <c r="CE54" i="2"/>
  <c r="CE55" i="2"/>
  <c r="CE56" i="2"/>
  <c r="CE57" i="2"/>
  <c r="CE58" i="2"/>
  <c r="CE59" i="2"/>
  <c r="CE60" i="2"/>
  <c r="CE61" i="2"/>
  <c r="CE62" i="2"/>
  <c r="CE2" i="2"/>
</calcChain>
</file>

<file path=xl/sharedStrings.xml><?xml version="1.0" encoding="utf-8"?>
<sst xmlns="http://schemas.openxmlformats.org/spreadsheetml/2006/main" count="3977" uniqueCount="795">
  <si>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</si>
  <si>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</si>
  <si>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</si>
  <si>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</si>
  <si>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</si>
  <si>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</si>
  <si>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</si>
  <si>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</si>
  <si>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</si>
  <si>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</si>
  <si>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</si>
  <si>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</si>
  <si>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</si>
  <si>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</si>
  <si>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</si>
  <si>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</si>
  <si>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</si>
  <si>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</si>
  <si>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</si>
  <si>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</si>
  <si>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</si>
  <si>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</si>
  <si>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</si>
  <si>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</si>
  <si>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</si>
  <si>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</si>
  <si>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</si>
  <si>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</si>
  <si>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</si>
  <si>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</si>
  <si>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</si>
  <si>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</si>
  <si>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</si>
  <si>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</si>
  <si>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</si>
  <si>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</si>
  <si>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</si>
  <si>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</si>
  <si>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</si>
  <si>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</si>
  <si>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</si>
  <si>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</si>
  <si>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</si>
  <si>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</si>
  <si>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</si>
  <si>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</si>
  <si>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</si>
  <si>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</si>
  <si>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</si>
  <si>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</si>
  <si>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</si>
  <si>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</si>
  <si>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</si>
  <si>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</si>
  <si>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</si>
  <si>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</si>
  <si>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</si>
  <si>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</si>
  <si>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</si>
  <si>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</si>
  <si>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</si>
  <si>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</si>
  <si>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</si>
  <si>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</si>
  <si>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</si>
  <si>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</si>
  <si>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</si>
  <si>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</si>
  <si>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</si>
  <si>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</si>
  <si>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</si>
  <si>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</si>
  <si>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</si>
  <si>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</si>
  <si>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</si>
  <si>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</si>
  <si>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</si>
  <si>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</si>
  <si>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</si>
  <si>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</si>
  <si>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</si>
  <si>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</si>
  <si>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</si>
  <si>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</si>
  <si>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</si>
  <si>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</si>
  <si>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</si>
  <si>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</si>
  <si>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</si>
  <si>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</si>
  <si>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</si>
  <si>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</si>
  <si>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</si>
  <si>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</si>
  <si>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</si>
  <si>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</si>
  <si>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</si>
  <si>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</si>
  <si>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</si>
  <si>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</si>
  <si>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</si>
  <si>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</si>
  <si>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</si>
  <si>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</si>
  <si>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</si>
  <si>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</si>
  <si>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</si>
  <si>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</si>
  <si>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</si>
  <si>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</si>
  <si>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</si>
  <si>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</si>
  <si>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</si>
  <si>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</si>
  <si>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</si>
  <si>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</si>
  <si>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</si>
  <si>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</si>
  <si>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</si>
  <si>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</si>
  <si>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</si>
  <si>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</si>
  <si>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</si>
  <si>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</si>
  <si>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</si>
  <si>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</si>
  <si>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</si>
  <si>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</si>
  <si>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</si>
  <si>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</si>
  <si>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</si>
  <si>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</si>
  <si>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</si>
  <si>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</si>
  <si>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</si>
  <si>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</si>
  <si>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</si>
  <si>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</si>
  <si>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</si>
  <si>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</si>
  <si>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</si>
  <si>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</si>
  <si>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</si>
  <si>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</si>
  <si>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</si>
  <si>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</si>
  <si>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</si>
  <si>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</si>
  <si>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</si>
  <si>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</si>
  <si>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</si>
  <si>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</si>
  <si>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</si>
  <si>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</si>
  <si>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</si>
  <si>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</si>
  <si>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</si>
  <si>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</si>
  <si>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</si>
  <si>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</si>
  <si>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</si>
  <si>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</si>
  <si>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</si>
  <si>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</si>
  <si>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</si>
  <si>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</si>
  <si>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</si>
  <si>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</si>
  <si>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</si>
  <si>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</si>
  <si>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</si>
  <si>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</si>
  <si>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</si>
  <si>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</si>
  <si>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</si>
  <si>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</si>
  <si>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</si>
  <si>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</si>
  <si>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</si>
  <si>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</si>
  <si>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</si>
  <si>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</si>
  <si>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</si>
  <si>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</si>
  <si>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</si>
  <si>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</si>
  <si>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</si>
  <si>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</si>
  <si>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</si>
  <si>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</si>
  <si>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</si>
  <si>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</si>
  <si>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</si>
  <si>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</si>
  <si>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</si>
  <si>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</si>
  <si>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</si>
  <si>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</si>
  <si>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</si>
  <si>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</si>
  <si>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</si>
  <si>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</si>
  <si>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</si>
  <si>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</si>
  <si>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</si>
  <si>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</si>
  <si>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</si>
  <si>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</si>
  <si>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</si>
  <si>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</si>
  <si>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</si>
  <si>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</si>
  <si>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</si>
  <si>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</si>
  <si>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</si>
  <si>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</si>
  <si>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</si>
  <si>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</si>
  <si>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</si>
  <si>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</si>
  <si>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</si>
  <si>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</si>
  <si>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</si>
  <si>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</si>
  <si>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</si>
  <si>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</si>
  <si>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</si>
  <si>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</si>
  <si>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</si>
  <si>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</si>
  <si>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</si>
  <si>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</si>
  <si>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</si>
  <si>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</si>
  <si>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</si>
  <si>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</si>
  <si>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</si>
  <si>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</si>
  <si>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</si>
  <si>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</si>
  <si>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</si>
  <si>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</si>
  <si>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</si>
  <si>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</si>
  <si>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</si>
  <si>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</si>
  <si>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</si>
  <si>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</si>
  <si>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</si>
  <si>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</si>
  <si>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</si>
  <si>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</si>
  <si>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</si>
  <si>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</si>
  <si>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</si>
  <si>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</si>
  <si>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</si>
  <si>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</si>
  <si>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</si>
  <si>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</si>
  <si>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</si>
  <si>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</si>
  <si>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</si>
  <si>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</si>
  <si>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</si>
  <si>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</si>
  <si>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</si>
  <si>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</si>
  <si>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</si>
  <si>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</si>
  <si>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</si>
  <si>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</si>
  <si>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</si>
  <si>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</si>
  <si>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</si>
  <si>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</si>
  <si>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</si>
  <si>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</si>
  <si>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</si>
  <si>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</si>
  <si>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</si>
  <si>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</si>
  <si>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</si>
  <si>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</si>
  <si>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</si>
  <si>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</si>
  <si>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</si>
  <si>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</si>
  <si>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</si>
  <si>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</si>
  <si>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</si>
  <si>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</si>
  <si>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</si>
  <si>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</si>
  <si>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</si>
  <si>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</si>
  <si>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</si>
  <si>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</si>
  <si>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</si>
  <si>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</si>
  <si>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</si>
  <si>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</si>
  <si>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</si>
  <si>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</si>
  <si>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</si>
  <si>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</si>
  <si>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</si>
  <si>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</si>
  <si>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</si>
  <si>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</si>
  <si>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</si>
  <si>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</si>
  <si>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</si>
  <si>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</si>
  <si>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</si>
  <si>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</si>
  <si>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</si>
  <si>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</si>
  <si>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</si>
  <si>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</si>
  <si>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</si>
  <si>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</si>
  <si>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</si>
  <si>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</si>
  <si>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</si>
  <si>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</si>
  <si>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</si>
  <si>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</si>
  <si>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</si>
  <si>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</si>
  <si>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</si>
  <si>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</si>
  <si>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</si>
  <si>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</si>
  <si>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</si>
  <si>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</si>
  <si>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</si>
  <si>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</si>
  <si>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</si>
  <si>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</si>
  <si>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</si>
  <si>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</si>
  <si>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</si>
  <si>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</si>
  <si>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</si>
  <si>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</si>
  <si>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</si>
  <si>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</si>
  <si>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</si>
  <si>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</si>
  <si>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</si>
  <si>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</si>
  <si>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</si>
  <si>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</si>
  <si>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</si>
  <si>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</si>
  <si>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</si>
  <si>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</si>
  <si>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</si>
  <si>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</si>
  <si>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</si>
  <si>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</si>
  <si>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</si>
  <si>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</si>
  <si>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</si>
  <si>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</si>
  <si>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</si>
  <si>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</si>
  <si>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</si>
  <si>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</si>
  <si>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</si>
  <si>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</si>
  <si>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</si>
  <si>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</si>
  <si>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</si>
  <si>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</si>
  <si>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</si>
  <si>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</si>
  <si>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</si>
  <si>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</si>
  <si>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</si>
  <si>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</si>
  <si>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</si>
  <si>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</si>
  <si>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</si>
  <si>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</si>
  <si>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</si>
  <si>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</si>
  <si>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</si>
  <si>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</si>
  <si>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</si>
  <si>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</si>
  <si>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</si>
  <si>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</si>
  <si>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</si>
  <si>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</si>
  <si>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</si>
  <si>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</si>
  <si>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</si>
  <si>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</si>
  <si>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</si>
  <si>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</si>
  <si>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</si>
  <si>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</si>
  <si>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</si>
  <si>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</si>
  <si>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</si>
  <si>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</si>
  <si>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</si>
  <si>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</si>
  <si>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</si>
  <si>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</si>
  <si>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</si>
  <si>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</si>
  <si>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</si>
  <si>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</si>
  <si>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</si>
  <si>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</si>
  <si>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</si>
  <si>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</si>
  <si>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</si>
  <si>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</si>
  <si>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</si>
  <si>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</si>
  <si>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</si>
  <si>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</si>
  <si>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</si>
  <si>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</si>
  <si>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</si>
  <si>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</si>
  <si>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</si>
  <si>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</si>
  <si>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</si>
  <si>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</si>
  <si>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</si>
  <si>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</si>
  <si>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</si>
  <si>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</si>
  <si>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</si>
  <si>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</si>
  <si>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</si>
  <si>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</si>
  <si>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</si>
  <si>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</si>
  <si>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</si>
  <si>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</si>
  <si>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</si>
  <si>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</si>
  <si>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</si>
  <si>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</si>
  <si>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</si>
  <si>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</si>
  <si>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</si>
  <si>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</si>
  <si>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</si>
  <si>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</si>
  <si>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</si>
  <si>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</si>
  <si>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</si>
  <si>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</si>
  <si>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</si>
  <si>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</si>
  <si>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</si>
  <si>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</si>
  <si>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</si>
  <si>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</si>
  <si>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</si>
  <si>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</si>
  <si>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</si>
  <si>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</si>
  <si>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</si>
  <si>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</si>
  <si>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</si>
  <si>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</si>
  <si>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</si>
  <si>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</si>
  <si>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</si>
  <si>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</si>
  <si>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</si>
  <si>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</si>
  <si>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</si>
  <si>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</si>
  <si>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</si>
  <si>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</si>
  <si>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</si>
  <si>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</si>
  <si>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</si>
  <si>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</si>
  <si>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</si>
  <si>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</si>
  <si>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</si>
  <si>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</si>
  <si>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</si>
  <si>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</si>
  <si>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</si>
  <si>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</si>
  <si>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</si>
  <si>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</si>
  <si>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</si>
  <si>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</si>
  <si>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</si>
  <si>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</si>
  <si>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</si>
  <si>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</si>
  <si>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</si>
  <si>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</si>
  <si>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</si>
  <si>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</si>
  <si>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</si>
  <si>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</si>
  <si>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</si>
  <si>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</si>
  <si>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</si>
  <si>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</si>
  <si>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</si>
  <si>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</si>
  <si>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</si>
  <si>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</si>
  <si>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</si>
  <si>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</si>
  <si>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</si>
  <si>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</si>
  <si>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</si>
  <si>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</si>
  <si>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</si>
  <si>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</si>
  <si>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</si>
  <si>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</si>
  <si>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</si>
  <si>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</si>
  <si>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</si>
  <si>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</si>
  <si>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</si>
  <si>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</si>
  <si>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</si>
  <si>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</si>
  <si>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</si>
  <si>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</si>
  <si>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</si>
  <si>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</si>
  <si>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</si>
  <si>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</si>
  <si>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</si>
  <si>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</si>
  <si>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</si>
  <si>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</si>
  <si>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</si>
  <si>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</si>
  <si>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</si>
  <si>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</si>
  <si>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</si>
  <si>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</si>
  <si>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</si>
  <si>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</si>
  <si>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</si>
  <si>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</si>
  <si>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</si>
  <si>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</si>
  <si>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</si>
  <si>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</si>
  <si>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</si>
  <si>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</si>
  <si>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</si>
  <si>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</si>
  <si>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</si>
  <si>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</si>
  <si>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</si>
  <si>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</si>
  <si>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</si>
  <si>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</si>
  <si>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</si>
  <si>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</si>
  <si>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</si>
  <si>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</si>
  <si>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</si>
  <si>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</si>
  <si>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</si>
  <si>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</si>
  <si>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</si>
  <si>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</si>
  <si>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</si>
  <si>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</si>
  <si>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</si>
  <si>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</si>
  <si>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</si>
  <si>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</si>
  <si>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</si>
  <si>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</si>
  <si>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</si>
  <si>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</si>
  <si>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</si>
  <si>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</si>
  <si>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</si>
  <si>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</si>
  <si>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</si>
  <si>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</si>
  <si>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</si>
  <si>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</si>
  <si>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</si>
  <si>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</si>
  <si>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</si>
  <si>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</si>
  <si>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</si>
  <si>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</si>
  <si>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</si>
  <si>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</si>
  <si>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</si>
  <si>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</si>
  <si>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</si>
  <si>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</si>
  <si>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</si>
  <si>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</si>
  <si>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</si>
  <si>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</si>
  <si>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</si>
  <si>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</si>
  <si>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</si>
  <si>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</si>
  <si>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</si>
  <si>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</si>
  <si>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</si>
  <si>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</si>
  <si>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</si>
  <si>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</si>
  <si>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</si>
  <si>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</si>
  <si>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</si>
  <si>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</si>
  <si>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</si>
  <si>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</si>
  <si>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</si>
  <si>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</si>
  <si>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</si>
  <si>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</si>
  <si>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</si>
  <si>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</si>
  <si>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</si>
  <si>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</si>
  <si>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</si>
  <si>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</si>
  <si>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</si>
  <si>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</si>
  <si>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</si>
  <si>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</si>
  <si>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</si>
  <si>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</si>
  <si>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</si>
  <si>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</si>
  <si>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</si>
  <si>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</si>
  <si>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</si>
  <si>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</si>
  <si>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</si>
  <si>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</si>
  <si>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</si>
  <si>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</si>
  <si>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</si>
  <si>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</si>
  <si>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</si>
  <si>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</si>
  <si>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</si>
  <si>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</si>
  <si>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</si>
  <si>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</si>
  <si>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</si>
  <si>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</si>
  <si>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</si>
  <si>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</si>
  <si>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</si>
  <si>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</si>
  <si>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</si>
  <si>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</si>
  <si>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</si>
  <si>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</si>
  <si>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</si>
  <si>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</si>
  <si>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</si>
  <si>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</si>
  <si>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</si>
  <si>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</si>
  <si>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</si>
  <si>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</si>
  <si>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</si>
  <si>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</si>
  <si>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</si>
  <si>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</si>
  <si>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</si>
  <si>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</si>
  <si>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</si>
  <si>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</si>
  <si>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</si>
  <si>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</si>
  <si>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</si>
  <si>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</si>
  <si>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</si>
  <si>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</si>
  <si>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</si>
  <si>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</si>
  <si>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</si>
  <si>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</si>
  <si>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</si>
  <si>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</si>
  <si>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</si>
  <si>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</si>
  <si>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</si>
  <si>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</si>
  <si>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</si>
  <si>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</si>
  <si>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</si>
  <si>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</si>
  <si>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</si>
  <si>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</si>
  <si>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</si>
  <si>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</si>
  <si>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</si>
  <si>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</si>
  <si>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</si>
  <si>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</si>
  <si>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</si>
  <si>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</si>
  <si>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</si>
  <si>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</si>
  <si>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</si>
  <si>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</si>
  <si>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</si>
  <si>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</si>
  <si>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</si>
  <si>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</si>
  <si>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</si>
  <si>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</si>
  <si>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</si>
  <si>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</si>
  <si>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</si>
  <si>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</si>
  <si>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</si>
  <si>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</si>
  <si>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</si>
  <si>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</si>
  <si>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</si>
  <si>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</si>
  <si>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</si>
  <si>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</si>
  <si>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</si>
  <si>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</si>
  <si>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</si>
  <si>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</si>
  <si>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</si>
  <si>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</si>
  <si>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</si>
  <si>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</si>
  <si>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</si>
  <si>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</si>
  <si>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</si>
  <si>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</si>
  <si>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</si>
  <si>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</si>
  <si>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</si>
  <si>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</si>
  <si>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</si>
  <si>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</si>
  <si>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</si>
  <si>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</si>
  <si>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</si>
  <si>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</si>
  <si>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</si>
  <si>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</si>
  <si>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</si>
  <si>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</si>
  <si>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</si>
  <si>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</si>
  <si>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</si>
  <si>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</si>
  <si>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</si>
  <si>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</si>
  <si>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</si>
  <si>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</si>
  <si>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</si>
  <si>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</si>
  <si>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</si>
  <si>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</si>
  <si>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</si>
  <si>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</si>
  <si>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</si>
  <si>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</si>
  <si>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</si>
  <si>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Performance Grade</t>
  </si>
  <si>
    <t>Count of Performance Grade</t>
  </si>
  <si>
    <t>Average of DISCOVERY</t>
  </si>
  <si>
    <t>Average of FIRST IMPRESSIONS</t>
  </si>
  <si>
    <t>Average of OBJECTION HANDLING</t>
  </si>
  <si>
    <t>Average of RECOMMENDATIONS</t>
  </si>
  <si>
    <t>Average of CLOSURE &amp; CARE</t>
  </si>
  <si>
    <t>Average of OVERALL EXPERIENCE</t>
  </si>
  <si>
    <t>Average of TRIAL EXPERIENCE &amp; UPSELL</t>
  </si>
  <si>
    <t>Average of STORE AMBIANCE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</si>
</sst>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17">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1" fillId="2" borderId="2" xfId="0" applyFont="1" applyFill="1" applyBorder="1" applyAlignment="1">
      <alignment horizontal="center"/>
    </xf>
    <xf numFmtId="0" fontId="0" fillId="0" borderId="2" xfId="0" applyBorder="1" applyAlignment="1">
      <alignment horizontal="center"/>
    </xf>
    <xf numFmtId="0" fontId="3" fillId="3" borderId="3" xfId="0" applyFont="1" applyFill="1" applyBorder="1"/>
    <xf numFmtId="2" fontId="0" fillId="0" borderId="0" xfId="0" pivotButton="1" applyNumberFormat="1"/>
    <xf numFmtId="2" fontId="0" fillId="0" borderId="0" xfId="0" applyNumberFormat="1"/>
    <xf numFmtId="2" fontId="0" fillId="0" borderId="0" xfId="0" applyNumberFormat="1"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cellXfs>
  <cellStyles count="1">
    <cellStyle name="Normal" xfId="0" builtinId="0"/>
  </cellStyles>
  <dxfs count="107">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1C1A-496C-AA55-07EF55368707}"/>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Analysis.xlsx]Average Evaluation Score by Zon!PivotTable1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Evaluation Score by Zone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Evaluation Score by Zon'!$B$1</c:f>
              <c:strCache>
                <c:ptCount val="1"/>
                <c:pt idx="0">
                  <c:v>Total</c:v>
                </c:pt>
              </c:strCache>
            </c:strRef>
          </c:tx>
          <c:spPr>
            <a:solidFill>
              <a:schemeClr val="accent1"/>
            </a:solidFill>
            <a:ln>
              <a:noFill/>
            </a:ln>
            <a:effectLst/>
          </c:spPr>
          <c:invertIfNegative val="0"/>
          <c:cat>
            <c:strRef>
              <c:f>'Average Evaluation Score by Zon'!$A$2:$A$6</c:f>
              <c:strCache>
                <c:ptCount val="4"/>
                <c:pt idx="0">
                  <c:v>East</c:v>
                </c:pt>
                <c:pt idx="1">
                  <c:v>North</c:v>
                </c:pt>
                <c:pt idx="2">
                  <c:v>South</c:v>
                </c:pt>
                <c:pt idx="3">
                  <c:v>West</c:v>
                </c:pt>
              </c:strCache>
            </c:strRef>
          </c:cat>
          <c:val>
            <c:numRef>
              <c:f>'Average Evaluation Score by Zon'!$B$2:$B$6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E891-46DB-82F9-D81F44B0AA4C}"/>
            </c:ext>
          </c:extLst>
        </c:ser>
        <c:dLbls>
          <c:showLegendKey val="0"/>
          <c:showVal val="0"/>
          <c:showCatName val="0"/>
          <c:showSerName val="0"/>
          <c:showPercent val="0"/>
          <c:showBubbleSize val="0"/>
        </c:dLbls>
        <c:gapWidth val="219"/>
        <c:overlap val="-27"/>
        <c:axId val="1289741760"/>
        <c:axId val="1203943536"/>
      </c:barChart>
      <c:catAx>
        <c:axId val="128974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943536"/>
        <c:crosses val="autoZero"/>
        <c:auto val="1"/>
        <c:lblAlgn val="ctr"/>
        <c:lblOffset val="100"/>
        <c:noMultiLvlLbl val="0"/>
      </c:catAx>
      <c:valAx>
        <c:axId val="120394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4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Analysis.xlsx]Performance Grade!PivotTable2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Grade'!$B$1:$B$2</c:f>
              <c:strCache>
                <c:ptCount val="1"/>
                <c:pt idx="0">
                  <c:v>Average Performer</c:v>
                </c:pt>
              </c:strCache>
            </c:strRef>
          </c:tx>
          <c:spPr>
            <a:solidFill>
              <a:schemeClr val="accent1"/>
            </a:solidFill>
            <a:ln>
              <a:noFill/>
            </a:ln>
            <a:effectLst/>
          </c:spPr>
          <c:invertIfNegative val="0"/>
          <c:cat>
            <c:strRef>
              <c:f>'Performance Grade'!$A$3:$A$7</c:f>
              <c:strCache>
                <c:ptCount val="4"/>
                <c:pt idx="0">
                  <c:v>East</c:v>
                </c:pt>
                <c:pt idx="1">
                  <c:v>North</c:v>
                </c:pt>
                <c:pt idx="2">
                  <c:v>South</c:v>
                </c:pt>
                <c:pt idx="3">
                  <c:v>West</c:v>
                </c:pt>
              </c:strCache>
            </c:strRef>
          </c:cat>
          <c:val>
            <c:numRef>
              <c:f>'Performance Grade'!$B$3:$B$7</c:f>
              <c:numCache>
                <c:formatCode>0.00%</c:formatCode>
                <c:ptCount val="4"/>
                <c:pt idx="0">
                  <c:v>0.14285714285714285</c:v>
                </c:pt>
                <c:pt idx="1">
                  <c:v>0.47368421052631576</c:v>
                </c:pt>
                <c:pt idx="2">
                  <c:v>0.3888888888888889</c:v>
                </c:pt>
                <c:pt idx="3">
                  <c:v>0.58823529411764708</c:v>
                </c:pt>
              </c:numCache>
            </c:numRef>
          </c:val>
          <c:extLst>
            <c:ext xmlns:c16="http://schemas.microsoft.com/office/drawing/2014/chart" uri="{C3380CC4-5D6E-409C-BE32-E72D297353CC}">
              <c16:uniqueId val="{00000000-355E-44E6-92ED-62582184498F}"/>
            </c:ext>
          </c:extLst>
        </c:ser>
        <c:ser>
          <c:idx val="1"/>
          <c:order val="1"/>
          <c:tx>
            <c:strRef>
              <c:f>'Performance Grade'!$C$1:$C$2</c:f>
              <c:strCache>
                <c:ptCount val="1"/>
                <c:pt idx="0">
                  <c:v>Bottom Performer</c:v>
                </c:pt>
              </c:strCache>
            </c:strRef>
          </c:tx>
          <c:spPr>
            <a:solidFill>
              <a:schemeClr val="accent2"/>
            </a:solidFill>
            <a:ln>
              <a:noFill/>
            </a:ln>
            <a:effectLst/>
          </c:spPr>
          <c:invertIfNegative val="0"/>
          <c:cat>
            <c:strRef>
              <c:f>'Performance Grade'!$A$3:$A$7</c:f>
              <c:strCache>
                <c:ptCount val="4"/>
                <c:pt idx="0">
                  <c:v>East</c:v>
                </c:pt>
                <c:pt idx="1">
                  <c:v>North</c:v>
                </c:pt>
                <c:pt idx="2">
                  <c:v>South</c:v>
                </c:pt>
                <c:pt idx="3">
                  <c:v>West</c:v>
                </c:pt>
              </c:strCache>
            </c:strRef>
          </c:cat>
          <c:val>
            <c:numRef>
              <c:f>'Performance Grade'!$C$3:$C$7</c:f>
              <c:numCache>
                <c:formatCode>0.00%</c:formatCode>
                <c:ptCount val="4"/>
                <c:pt idx="0">
                  <c:v>0.14285714285714285</c:v>
                </c:pt>
                <c:pt idx="1">
                  <c:v>5.2631578947368418E-2</c:v>
                </c:pt>
                <c:pt idx="2">
                  <c:v>0.16666666666666666</c:v>
                </c:pt>
                <c:pt idx="3">
                  <c:v>0.17647058823529413</c:v>
                </c:pt>
              </c:numCache>
            </c:numRef>
          </c:val>
          <c:extLst>
            <c:ext xmlns:c16="http://schemas.microsoft.com/office/drawing/2014/chart" uri="{C3380CC4-5D6E-409C-BE32-E72D297353CC}">
              <c16:uniqueId val="{00000001-355E-44E6-92ED-62582184498F}"/>
            </c:ext>
          </c:extLst>
        </c:ser>
        <c:ser>
          <c:idx val="2"/>
          <c:order val="2"/>
          <c:tx>
            <c:strRef>
              <c:f>'Performance Grade'!$D$1:$D$2</c:f>
              <c:strCache>
                <c:ptCount val="1"/>
                <c:pt idx="0">
                  <c:v>High Performer</c:v>
                </c:pt>
              </c:strCache>
            </c:strRef>
          </c:tx>
          <c:spPr>
            <a:solidFill>
              <a:schemeClr val="accent3"/>
            </a:solidFill>
            <a:ln>
              <a:noFill/>
            </a:ln>
            <a:effectLst/>
          </c:spPr>
          <c:invertIfNegative val="0"/>
          <c:cat>
            <c:strRef>
              <c:f>'Performance Grade'!$A$3:$A$7</c:f>
              <c:strCache>
                <c:ptCount val="4"/>
                <c:pt idx="0">
                  <c:v>East</c:v>
                </c:pt>
                <c:pt idx="1">
                  <c:v>North</c:v>
                </c:pt>
                <c:pt idx="2">
                  <c:v>South</c:v>
                </c:pt>
                <c:pt idx="3">
                  <c:v>West</c:v>
                </c:pt>
              </c:strCache>
            </c:strRef>
          </c:cat>
          <c:val>
            <c:numRef>
              <c:f>'Performance Grade'!$D$3:$D$7</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2-355E-44E6-92ED-62582184498F}"/>
            </c:ext>
          </c:extLst>
        </c:ser>
        <c:ser>
          <c:idx val="3"/>
          <c:order val="3"/>
          <c:tx>
            <c:strRef>
              <c:f>'Performance Grade'!$E$1:$E$2</c:f>
              <c:strCache>
                <c:ptCount val="1"/>
                <c:pt idx="0">
                  <c:v>Low Performer</c:v>
                </c:pt>
              </c:strCache>
            </c:strRef>
          </c:tx>
          <c:spPr>
            <a:solidFill>
              <a:schemeClr val="accent4"/>
            </a:solidFill>
            <a:ln>
              <a:noFill/>
            </a:ln>
            <a:effectLst/>
          </c:spPr>
          <c:invertIfNegative val="0"/>
          <c:cat>
            <c:strRef>
              <c:f>'Performance Grade'!$A$3:$A$7</c:f>
              <c:strCache>
                <c:ptCount val="4"/>
                <c:pt idx="0">
                  <c:v>East</c:v>
                </c:pt>
                <c:pt idx="1">
                  <c:v>North</c:v>
                </c:pt>
                <c:pt idx="2">
                  <c:v>South</c:v>
                </c:pt>
                <c:pt idx="3">
                  <c:v>West</c:v>
                </c:pt>
              </c:strCache>
            </c:strRef>
          </c:cat>
          <c:val>
            <c:numRef>
              <c:f>'Performance Grade'!$E$3:$E$7</c:f>
              <c:numCache>
                <c:formatCode>0.00%</c:formatCode>
                <c:ptCount val="4"/>
                <c:pt idx="0">
                  <c:v>0.42857142857142855</c:v>
                </c:pt>
                <c:pt idx="1">
                  <c:v>0.26315789473684209</c:v>
                </c:pt>
                <c:pt idx="2">
                  <c:v>0.33333333333333331</c:v>
                </c:pt>
                <c:pt idx="3">
                  <c:v>0.11764705882352941</c:v>
                </c:pt>
              </c:numCache>
            </c:numRef>
          </c:val>
          <c:extLst>
            <c:ext xmlns:c16="http://schemas.microsoft.com/office/drawing/2014/chart" uri="{C3380CC4-5D6E-409C-BE32-E72D297353CC}">
              <c16:uniqueId val="{00000003-355E-44E6-92ED-62582184498F}"/>
            </c:ext>
          </c:extLst>
        </c:ser>
        <c:dLbls>
          <c:showLegendKey val="0"/>
          <c:showVal val="0"/>
          <c:showCatName val="0"/>
          <c:showSerName val="0"/>
          <c:showPercent val="0"/>
          <c:showBubbleSize val="0"/>
        </c:dLbls>
        <c:gapWidth val="219"/>
        <c:overlap val="-27"/>
        <c:axId val="1387261184"/>
        <c:axId val="1059549712"/>
      </c:barChart>
      <c:catAx>
        <c:axId val="138726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549712"/>
        <c:crosses val="autoZero"/>
        <c:auto val="1"/>
        <c:lblAlgn val="ctr"/>
        <c:lblOffset val="100"/>
        <c:noMultiLvlLbl val="0"/>
      </c:catAx>
      <c:valAx>
        <c:axId val="1059549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6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Percentage of High Performers by Zone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BF-4DE8-A7F3-83C386A6CF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BF-4DE8-A7F3-83C386A6CF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BF-4DE8-A7F3-83C386A6CF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BF-4DE8-A7F3-83C386A6CF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'percentage of high performer'!$A$2:$A$5</c:f>
              <c:strCache>
                <c:ptCount val="4"/>
                <c:pt idx="0">
                  <c:v>East</c:v>
                </c:pt>
                <c:pt idx="1">
                  <c:v>North</c:v>
                </c:pt>
                <c:pt idx="2">
                  <c:v>South</c:v>
                </c:pt>
                <c:pt idx="3">
                  <c:v>West</c:v>
                </c:pt>
              </c:strCache>
            </c:strRef>
          </c:cat>
          <c:val>
            <c:numRef>
              <c:f>'percentage of high performer'!$B$2:$B$5</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0-2986-45DE-BDF9-2419F7F3E986}"/>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Analysis.xlsx]Evaluation score over time!PivotTable1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Evaluation</a:t>
            </a:r>
            <a:r>
              <a:rPr lang="en-US" baseline="0"/>
              <a:t> Score Trends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'Evaluation score over time'!$B$3</c:f>
              <c:strCache>
                <c:ptCount val="1"/>
                <c:pt idx="0">
                  <c:v>Total</c:v>
                </c:pt>
              </c:strCache>
            </c:strRef>
          </c:tx>
          <c:spPr>
            <a:ln w="28575" cap="rnd">
              <a:solidFill>
                <a:schemeClr val="accent1"/>
              </a:solidFill>
              <a:round/>
            </a:ln>
            <a:effectLst/>
          </c:spPr>
          <c:marker>
            <c:symbol val="none"/>
          </c:marker>
          <c:cat>
            <c:strRef>
              <c:f>'Evaluation score over time'!$A$4:$A$26</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'Evaluation score over time'!$B$4:$B$26</c:f>
              <c:numCache>
                <c:formatCode>0.00</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0-5A1B-45E7-8C07-5BDA1C0D5340}"/>
            </c:ext>
          </c:extLst>
        </c:ser>
        <c:dLbls>
          <c:showLegendKey val="0"/>
          <c:showVal val="0"/>
          <c:showCatName val="0"/>
          <c:showSerName val="0"/>
          <c:showPercent val="0"/>
          <c:showBubbleSize val="0"/>
        </c:dLbls>
        <c:smooth val="0"/>
        <c:axId val="1708729328"/>
        <c:axId val="2102440368"/>
      </c:lineChart>
      <c:catAx>
        <c:axId val="170872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40368"/>
        <c:crosses val="autoZero"/>
        <c:auto val="1"/>
        <c:lblAlgn val="ctr"/>
        <c:lblOffset val="100"/>
        <c:noMultiLvlLbl val="0"/>
      </c:catAx>
      <c:valAx>
        <c:axId val="2102440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2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Analysis.xlsx]grade performance comparision!PivotTable4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Performance Comparison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'grade performance comparision'!$B$3</c:f>
              <c:strCache>
                <c:ptCount val="1"/>
                <c:pt idx="0">
                  <c:v>Total</c:v>
                </c:pt>
              </c:strCache>
            </c:strRef>
          </c:tx>
          <c:spPr>
            <a:solidFill>
              <a:schemeClr val="accent1"/>
            </a:solidFill>
            <a:ln>
              <a:noFill/>
            </a:ln>
            <a:effectLst/>
          </c:spPr>
          <c:invertIfNegative val="0"/>
          <c:cat>
            <c:strRef>
              <c:f>'grade performance comparision'!$A$4:$A$8</c:f>
              <c:strCache>
                <c:ptCount val="4"/>
                <c:pt idx="0">
                  <c:v>Average Performer</c:v>
                </c:pt>
                <c:pt idx="1">
                  <c:v>Bottom Performer</c:v>
                </c:pt>
                <c:pt idx="2">
                  <c:v>High Performer</c:v>
                </c:pt>
                <c:pt idx="3">
                  <c:v>Low Performer</c:v>
                </c:pt>
              </c:strCache>
            </c:strRef>
          </c:cat>
          <c:val>
            <c:numRef>
              <c:f>'grade performance comparision'!$B$4:$B$8</c:f>
              <c:numCache>
                <c:formatCode>0.00</c:formatCode>
                <c:ptCount val="4"/>
                <c:pt idx="0">
                  <c:v>79.962962962962962</c:v>
                </c:pt>
                <c:pt idx="1">
                  <c:v>35.625</c:v>
                </c:pt>
                <c:pt idx="2">
                  <c:v>94</c:v>
                </c:pt>
                <c:pt idx="3">
                  <c:v>62.1875</c:v>
                </c:pt>
              </c:numCache>
            </c:numRef>
          </c:val>
          <c:extLst>
            <c:ext xmlns:c16="http://schemas.microsoft.com/office/drawing/2014/chart" uri="{C3380CC4-5D6E-409C-BE32-E72D297353CC}">
              <c16:uniqueId val="{00000000-F820-446B-8065-B467A85453E3}"/>
            </c:ext>
          </c:extLst>
        </c:ser>
        <c:dLbls>
          <c:showLegendKey val="0"/>
          <c:showVal val="0"/>
          <c:showCatName val="0"/>
          <c:showSerName val="0"/>
          <c:showPercent val="0"/>
          <c:showBubbleSize val="0"/>
        </c:dLbls>
        <c:gapWidth val="219"/>
        <c:overlap val="-27"/>
        <c:axId val="164608991"/>
        <c:axId val="167317871"/>
      </c:barChart>
      <c:catAx>
        <c:axId val="16460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17871"/>
        <c:crosses val="autoZero"/>
        <c:auto val="1"/>
        <c:lblAlgn val="ctr"/>
        <c:lblOffset val="100"/>
        <c:noMultiLvlLbl val="0"/>
      </c:catAx>
      <c:valAx>
        <c:axId val="1673178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0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E86A6A8C-6B0F-90F3-9B58-89DED27CA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B3967AC-F0B4-475D-47F7-3B652D874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449580</xdr:colOff>
      <xdr:row>5</xdr:row>
      <xdr:rowOff>148590</xdr:rowOff>
    </xdr:from>
    <xdr:to>
      <xdr:col>14</xdr:col>
      <xdr:colOff>144780</xdr:colOff>
      <xdr:row>20</xdr:row>
      <xdr:rowOff>148590</xdr:rowOff>
    </xdr:to>
    <xdr:graphicFrame macro="">
      <xdr:nvGraphicFramePr>
        <xdr:cNvPr id="2" name="Chart 1">
          <a:extLst>
            <a:ext uri="{FF2B5EF4-FFF2-40B4-BE49-F238E27FC236}">
              <a16:creationId xmlns:a16="http://schemas.microsoft.com/office/drawing/2014/main" id="{69BE5C84-3E69-24FC-506D-6B55CB585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518160</xdr:colOff>
      <xdr:row>5</xdr:row>
      <xdr:rowOff>148590</xdr:rowOff>
    </xdr:from>
    <xdr:to>
      <xdr:col>10</xdr:col>
      <xdr:colOff>213360</xdr:colOff>
      <xdr:row>20</xdr:row>
      <xdr:rowOff>148590</xdr:rowOff>
    </xdr:to>
    <xdr:graphicFrame macro="">
      <xdr:nvGraphicFramePr>
        <xdr:cNvPr id="2" name="Chart 1">
          <a:extLst>
            <a:ext uri="{FF2B5EF4-FFF2-40B4-BE49-F238E27FC236}">
              <a16:creationId xmlns:a16="http://schemas.microsoft.com/office/drawing/2014/main" id="{C3DE4099-0480-4248-F960-6015D9A78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251460</xdr:colOff>
      <xdr:row>5</xdr:row>
      <xdr:rowOff>148590</xdr:rowOff>
    </xdr:from>
    <xdr:to>
      <xdr:col>9</xdr:col>
      <xdr:colOff>556260</xdr:colOff>
      <xdr:row>20</xdr:row>
      <xdr:rowOff>148590</xdr:rowOff>
    </xdr:to>
    <xdr:graphicFrame macro="">
      <xdr:nvGraphicFramePr>
        <xdr:cNvPr id="2" name="Chart 1">
          <a:extLst>
            <a:ext uri="{FF2B5EF4-FFF2-40B4-BE49-F238E27FC236}">
              <a16:creationId xmlns:a16="http://schemas.microsoft.com/office/drawing/2014/main" id="{D55C8CF7-CB00-F415-0EEC-5983914F9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an" refreshedDate="46288.259804745372" createdVersion="8" refreshedVersion="8" minRefreshableVersion="3" recordCount="61" xr:uid="{F77F4F9F-D6C8-4154-A3C4-C8E3A0A48EDF}">
  <cacheSource type="worksheet">
    <worksheetSource name="Table1"/>
  </cacheSource>
  <cacheFields count="83">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acheField>
    <cacheField name="Zone" numFmtId="0">
      <sharedItems count="4">
        <s v="North"/>
        <s v="West"/>
        <s v="South"/>
        <s v="East"/>
      </sharedItems>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Grad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an" refreshedDate="46288.267269675925" createdVersion="8" refreshedVersion="8" minRefreshableVersion="3" recordCount="62" xr:uid="{C328BBDA-318A-4F6E-9C5D-AB2B562F436F}">
  <cacheSource type="worksheet">
    <worksheetSource ref="A1:CE1048576" sheet="CX_Junior BI Analyst_Test"/>
  </cacheSource>
  <cacheFields count="83">
    <cacheField name="Evaluation_ID" numFmtId="0">
      <sharedItems containsString="0" containsBlank="1" containsNumber="1" containsInteger="1" minValue="11078689" maxValue="11108850"/>
    </cacheField>
    <cacheField name="Evaluation_Date" numFmtId="0">
      <sharedItems containsBlank="1"/>
    </cacheField>
    <cacheField name="Evaluation_Score" numFmtId="0">
      <sharedItems containsString="0" containsBlank="1" containsNumber="1" containsInteger="1" minValue="33" maxValue="100"/>
    </cacheField>
    <cacheField name="STORE AMBIANCE" numFmtId="0">
      <sharedItems containsString="0" containsBlank="1" containsNumber="1" containsInteger="1" minValue="78" maxValue="100"/>
    </cacheField>
    <cacheField name="FIRST IMPRESSIONS" numFmtId="0">
      <sharedItems containsString="0" containsBlank="1" containsNumber="1" containsInteger="1" minValue="33" maxValue="100"/>
    </cacheField>
    <cacheField name="DISCOVERY" numFmtId="0">
      <sharedItems containsString="0" containsBlank="1" containsNumber="1" containsInteger="1" minValue="0" maxValue="100"/>
    </cacheField>
    <cacheField name="RECOMMENDATIONS" numFmtId="0">
      <sharedItems containsString="0" containsBlank="1" containsNumber="1" containsInteger="1" minValue="0" maxValue="100"/>
    </cacheField>
    <cacheField name="TRIAL EXPERIENCE &amp; UPSELL" numFmtId="0">
      <sharedItems containsString="0" containsBlank="1" containsNumber="1" containsInteger="1" minValue="0" maxValue="100"/>
    </cacheField>
    <cacheField name="OBJECTION HANDLING" numFmtId="0">
      <sharedItems containsString="0" containsBlank="1" containsNumber="1" containsInteger="1" minValue="0" maxValue="100"/>
    </cacheField>
    <cacheField name="CLOSURE &amp; CARE" numFmtId="0">
      <sharedItems containsString="0" containsBlank="1" containsNumber="1" containsInteger="1" minValue="0" maxValue="100"/>
    </cacheField>
    <cacheField name="OVERALL EXPERIENCE" numFmtId="0">
      <sharedItems containsString="0" containsBlank="1" containsNumber="1" containsInteger="1" minValue="0" maxValue="100"/>
    </cacheField>
    <cacheField name="Location_City" numFmtId="0">
      <sharedItems containsBlank="1"/>
    </cacheField>
    <cacheField name="Location_State" numFmtId="0">
      <sharedItems containsBlank="1"/>
    </cacheField>
    <cacheField name="Zone" numFmtId="0">
      <sharedItems containsBlank="1" count="5">
        <s v="North"/>
        <s v="West"/>
        <s v="South"/>
        <s v="East"/>
        <m/>
      </sharedItems>
    </cacheField>
    <cacheField name="Location_Country" numFmtId="0">
      <sharedItems containsBlank="1"/>
    </cacheField>
    <cacheField name="Time of entry:" numFmtId="0">
      <sharedItems containsBlank="1"/>
    </cacheField>
    <cacheField name="Time of exit:" numFmtId="0">
      <sharedItems containsBlank="1"/>
    </cacheField>
    <cacheField name="Duration of visit:" numFmtId="0">
      <sharedItems containsString="0" containsBlank="1" containsNumber="1" containsInteger="1" minValue="600" maxValue="4560"/>
    </cacheField>
    <cacheField name="How many Style Advisors were present in the store during your visit?" numFmtId="0">
      <sharedItems containsBlank="1" containsMixedTypes="1" containsNumber="1" containsInteger="1" minValue="1" maxValue="4"/>
    </cacheField>
    <cacheField name="How many customers were present in the store during your visit?" numFmtId="0">
      <sharedItems containsString="0" containsBlank="1" containsNumber="1" containsInteger="1" minValue="0" maxValue="7"/>
    </cacheField>
    <cacheField name="Age of the Auditor:" numFmtId="0">
      <sharedItems containsString="0" containsBlank="1" containsNumber="1" containsInteger="1" minValue="23" maxValue="66"/>
    </cacheField>
    <cacheField name="Gender of Auditor:" numFmtId="0">
      <sharedItems containsBlank="1"/>
    </cacheField>
    <cacheField name="Please describe what you were wearing during your visit." numFmtId="0">
      <sharedItems containsBlank="1"/>
    </cacheField>
    <cacheField name="Name of the Style Advisor who attended to you:" numFmtId="0">
      <sharedItems containsBlank="1"/>
    </cacheField>
    <cacheField name="Please provide a detailed physical description (gender, approx. height, complexion, hair colour, wore spectacles, wearing Company branded t-shirt, plain jeans, shoes, proper shave and hairstyle done, etc.)" numFmtId="0">
      <sharedItems containsBlank="1"/>
    </cacheField>
    <cacheField name="1.1 -  Was the exterior signage clean and well lit?" numFmtId="0">
      <sharedItems containsBlank="1"/>
    </cacheField>
    <cacheField name="1.2 -  Was the store threshold, entrance and overall look inviting?" numFmtId="0">
      <sharedItems containsBlank="1"/>
    </cacheField>
    <cacheField name="1.3 -  Were all the fixtures and other tangibles in good condition (walls, lights, floor, etc.)?" numFmtId="0">
      <sharedItems containsBlank="1"/>
    </cacheField>
    <cacheField name="1.4 -  Was there any music playing at the store?" numFmtId="0">
      <sharedItems containsBlank="1"/>
    </cacheField>
    <cacheField name="1.5 -  Was the digital screen in the store operational during your visit?" numFmtId="0">
      <sharedItems containsBlank="1"/>
    </cacheField>
    <cacheField name="1.6 -  Did you see any cartons, etc. lying around?" numFmtId="0">
      <sharedItems containsBlank="1"/>
    </cacheField>
    <cacheField name="1.7 - Was the merchandise displayed and arranged well on the drawers/shelves/display tables?" numFmtId="0">
      <sharedItems containsBlank="1"/>
    </cacheField>
    <cacheField name="1.8 - Was the merchandise arranged according to the brand and frame type?" numFmtId="0">
      <sharedItems containsBlank="1"/>
    </cacheField>
    <cacheField name="1.9 - Upon your entrance, did you feel welcomed to freely move and explore the store?" numFmtId="0">
      <sharedItems containsBlank="1"/>
    </cacheField>
    <cacheField name="1.10 -  Additional remarks, if any." numFmtId="0">
      <sharedItems containsBlank="1" longText="1"/>
    </cacheField>
    <cacheField name="2.1 - What was your first impression when you entered the store? Please mention the details." numFmtId="0">
      <sharedItems containsBlank="1"/>
    </cacheField>
    <cacheField name="2.1.1 Please justify your reason for the above marking." numFmtId="0">
      <sharedItems containsNonDate="0" containsString="0" containsBlank="1"/>
    </cacheField>
    <cacheField name="2.2 - Were you acknowledged and greeted with the following:" numFmtId="0">
      <sharedItems containsBlank="1"/>
    </cacheField>
    <cacheField name="2.3 - How long did you have to wait to receive service from the Style Advisor (from the moment you entered the store until you received service from the advisor)?" numFmtId="0">
      <sharedItems containsBlank="1"/>
    </cacheField>
    <cacheField name="2.4 - Was the store temperature maintained at a comfortable level?" numFmtId="0">
      <sharedItems containsBlank="1"/>
    </cacheField>
    <cacheField name="2.5 - Was there a pleasant aroma inside the store?" numFmtId="0">
      <sharedItems containsBlank="1"/>
    </cacheField>
    <cacheField name="2.6 - Were the racks and signages for offers neat and clean, and was the cashier desk neat and well stocked?" numFmtId="0">
      <sharedItems containsBlank="1"/>
    </cacheField>
    <cacheField name="2.7 -   Were you proactively approached by the Style Advisor to initiate in an icebreaking, non transactional conversation? (Eg: &quot;Nice shades/watch/denims!&quot;, &quot;I must say you have great taste&quot;)" numFmtId="0">
      <sharedItems containsBlank="1"/>
    </cacheField>
    <cacheField name="2.8 - Were you given assistance with your bags, if you had any? (mark N/A if you did not have any bags)" numFmtId="0">
      <sharedItems containsBlank="1"/>
    </cacheField>
    <cacheField name="3.1 -   Did Style Advisor proactively engage you in a conversation to understand your needs and wants? Questions may include occasion/reason for purchase, lifestyle, choice of colour, style, material, volume, function, size, etc." numFmtId="0">
      <sharedItems containsBlank="1"/>
    </cacheField>
    <cacheField name="3.2 - Did Style Advisor genuinely show an interest in your needs and listen to you empathically?" numFmtId="0">
      <sharedItems containsBlank="1"/>
    </cacheField>
    <cacheField name="3.3 - What were the questions asked by the Style Advisor to discover your needs?" numFmtId="0">
      <sharedItems containsBlank="1" longText="1"/>
    </cacheField>
    <cacheField name="3.4 - While presenting the product, did the Style Advisor tell you about the brand?" numFmtId="0">
      <sharedItems containsBlank="1"/>
    </cacheField>
    <cacheField name="3.5 - Additional remarks, if any." numFmtId="0">
      <sharedItems containsBlank="1" longText="1"/>
    </cacheField>
    <cacheField name="3.6 - When you stated your interest in a specific brand, did the Style Advisor respond by asking you questions about your product needs?" numFmtId="0">
      <sharedItems containsBlank="1"/>
    </cacheField>
    <cacheField name="3.6.1 - If yes, what were the questions asked pertaining to that brand?" numFmtId="0">
      <sharedItems containsBlank="1" longText="1"/>
    </cacheField>
    <cacheField name="4.1 - Were multiple options introduced  across the brands as per your needs?" numFmtId="0">
      <sharedItems containsBlank="1"/>
    </cacheField>
    <cacheField name="4.2 - Did Style Advisor share the current season's inspiration or craftsmanship of the product?" numFmtId="0">
      <sharedItems containsBlank="1"/>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ontainsBlank="1"/>
    </cacheField>
    <cacheField name="4.4 - Did they briefly share the brand story with you?" numFmtId="0">
      <sharedItems containsBlank="1"/>
    </cacheField>
    <cacheField name="5.1 - Were you encouraged to touch/feel and try the products?" numFmtId="0">
      <sharedItems containsBlank="1"/>
    </cacheField>
    <cacheField name="5.2 - Did Style Advisor offer compliments/corrections post-trial?" numFmtId="0">
      <sharedItems containsBlank="1"/>
    </cacheField>
    <cacheField name="5.3 - Did the Style Advisor offer appropriate recommendations as per your facial characteristics and anatomy?" numFmtId="0">
      <sharedItems containsBlank="1"/>
    </cacheField>
    <cacheField name="5.4 - Did the Style Advisor clean the sunglasses before the trial?" numFmtId="0">
      <sharedItems containsBlank="1"/>
    </cacheField>
    <cacheField name="5.5 - Did the Style Advisor use the styling tray and microfiber cloth during the trial and demonstration?" numFmtId="0">
      <sharedItems containsBlank="1"/>
    </cacheField>
    <cacheField name="5.6 - Did the Style Advisor try to get your feedback as well as give suggestions about the products being shown and tried on?" numFmtId="0">
      <sharedItems containsBlank="1"/>
    </cacheField>
    <cacheField name="5.7 - Did the Style Advisor try to up-sell products from different categories? (Recommend product eg New arrivals, festive collections etc)?" numFmtId="0">
      <sharedItems containsBlank="1"/>
    </cacheField>
    <cacheField name="5.8 - Please mention the details of the product recommended." numFmtId="0">
      <sharedItems containsBlank="1" longText="1"/>
    </cacheField>
    <cacheField name="5.9 - Please share your overall trial experience." numFmtId="0">
      <sharedItems containsBlank="1" longText="1"/>
    </cacheField>
    <cacheField name="6.1 - What objection did you raise during the visit for the recommended product/brand?" numFmtId="0">
      <sharedItems containsBlank="1"/>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ontainsBlank="1"/>
    </cacheField>
    <cacheField name="6.3 - Did the Style Advisor answer your objection appropriately and address the concern that you brought up?" numFmtId="0">
      <sharedItems containsBlank="1"/>
    </cacheField>
    <cacheField name="6.4 -    Did the Style Advisor show you any other product to match your need?" numFmtId="0">
      <sharedItems containsBlank="1"/>
    </cacheField>
    <cacheField name="7.1 - At the end of the interaction, did the Style Advisor do any of the following?" numFmtId="0">
      <sharedItems containsBlank="1" longText="1"/>
    </cacheField>
    <cacheField name="7.1.1 - If other, please specify." numFmtId="0">
      <sharedItems containsBlank="1"/>
    </cacheField>
    <cacheField name="7.2 - Did the Style Advisor try to close the sale in a pleasant and positive manner?" numFmtId="0">
      <sharedItems containsBlank="1"/>
    </cacheField>
    <cacheField name="7.3 - Did the Style Advisor talk about the ongoing offers during the conversation?" numFmtId="0">
      <sharedItems containsBlank="1"/>
    </cacheField>
    <cacheField name="7.4 - Did the Style Advisor talk about the &quot;Sun Perks&quot; loyalty program?" numFmtId="0">
      <sharedItems containsBlank="1"/>
    </cacheField>
    <cacheField name="7.5 - Did the Style Advisor talk about the benefits of  &quot;Perfect Pair Promise&quot;?" numFmtId="0">
      <sharedItems containsBlank="1"/>
    </cacheField>
    <cacheField name="7.6 - Did the Style Advisor's attitude change when he/she realized that you would not be buying the product on the same day?" numFmtId="0">
      <sharedItems containsBlank="1"/>
    </cacheField>
    <cacheField name="7.7 - Did Style Advisor share a reason to come back (possibly including dates for an upcoming collection, any events or offers)?" numFmtId="0">
      <sharedItems containsBlank="1"/>
    </cacheField>
    <cacheField name="7.8 - Did the Style Advisor thank you for visiting the store?" numFmtId="0">
      <sharedItems containsBlank="1"/>
    </cacheField>
    <cacheField name="7.9 - Did Style Advisor accompany you to the exit, bid you farewell in warm manner, and invite you to come back?" numFmtId="0">
      <sharedItems containsBlank="1"/>
    </cacheField>
    <cacheField name="8.1 - On a scale of 1 to 10, how likely is it that you will come back to the Sunglass Hut?" numFmtId="0">
      <sharedItems containsString="0" containsBlank="1" containsNumber="1" containsInteger="1" minValue="1" maxValue="10"/>
    </cacheField>
    <cacheField name="8.2 - Did you find Style Advisor engaging &amp; displaying positive body language during entire conversation?" numFmtId="0">
      <sharedItems containsBlank="1"/>
    </cacheField>
    <cacheField name="8.3 -   On a scale of 1 to 10, rate the Style Advisor on his/her overall assistance during the visit." numFmtId="0">
      <sharedItems containsString="0" containsBlank="1" containsNumber="1" containsInteger="1" minValue="1" maxValue="10"/>
    </cacheField>
    <cacheField name="Performance Grade" numFmtId="0">
      <sharedItems containsBlank="1" count="5">
        <s v="Low Performer"/>
        <s v="Average Performer"/>
        <s v="High Performer"/>
        <s v="Bottom Performer"/>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n v="58"/>
    <n v="100"/>
    <n v="56"/>
    <n v="80"/>
    <n v="17"/>
    <n v="50"/>
    <n v="0"/>
    <n v="57"/>
    <n v="10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x v="1"/>
    <n v="86"/>
    <n v="100"/>
    <n v="100"/>
    <n v="100"/>
    <n v="67"/>
    <n v="75"/>
    <n v="100"/>
    <n v="63"/>
    <n v="10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x v="2"/>
    <n v="72"/>
    <n v="100"/>
    <n v="100"/>
    <n v="80"/>
    <n v="17"/>
    <n v="75"/>
    <n v="100"/>
    <n v="25"/>
    <n v="10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x v="3"/>
    <n v="84"/>
    <n v="89"/>
    <n v="80"/>
    <n v="80"/>
    <n v="100"/>
    <n v="63"/>
    <n v="100"/>
    <n v="88"/>
    <n v="10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x v="4"/>
    <n v="84"/>
    <n v="89"/>
    <n v="80"/>
    <n v="80"/>
    <n v="100"/>
    <n v="63"/>
    <n v="100"/>
    <n v="88"/>
    <n v="10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x v="5"/>
    <n v="90"/>
    <n v="100"/>
    <n v="100"/>
    <n v="100"/>
    <n v="83"/>
    <n v="88"/>
    <n v="100"/>
    <n v="63"/>
    <n v="10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x v="3"/>
    <n v="36"/>
    <n v="78"/>
    <n v="90"/>
    <n v="0"/>
    <n v="0"/>
    <n v="0"/>
    <n v="0"/>
    <n v="25"/>
    <n v="0"/>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x v="6"/>
    <n v="34"/>
    <n v="78"/>
    <n v="60"/>
    <n v="40"/>
    <n v="0"/>
    <n v="0"/>
    <n v="33"/>
    <n v="13"/>
    <n v="0"/>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x v="5"/>
    <n v="74"/>
    <n v="78"/>
    <n v="90"/>
    <n v="40"/>
    <n v="50"/>
    <n v="100"/>
    <n v="100"/>
    <n v="50"/>
    <n v="10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x v="1"/>
    <n v="74"/>
    <n v="78"/>
    <n v="90"/>
    <n v="60"/>
    <n v="17"/>
    <n v="100"/>
    <n v="100"/>
    <n v="63"/>
    <n v="10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x v="5"/>
    <n v="86"/>
    <n v="78"/>
    <n v="80"/>
    <n v="100"/>
    <n v="100"/>
    <n v="100"/>
    <n v="100"/>
    <n v="63"/>
    <n v="10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x v="6"/>
    <n v="70"/>
    <n v="78"/>
    <n v="60"/>
    <n v="100"/>
    <n v="50"/>
    <n v="88"/>
    <n v="100"/>
    <n v="38"/>
    <n v="10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x v="1"/>
    <n v="84"/>
    <n v="89"/>
    <n v="89"/>
    <n v="80"/>
    <n v="83"/>
    <n v="100"/>
    <n v="100"/>
    <n v="50"/>
    <n v="10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x v="7"/>
    <n v="78"/>
    <n v="78"/>
    <n v="100"/>
    <n v="80"/>
    <n v="83"/>
    <n v="50"/>
    <n v="100"/>
    <n v="63"/>
    <n v="10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x v="1"/>
    <n v="61"/>
    <n v="78"/>
    <n v="67"/>
    <n v="60"/>
    <n v="83"/>
    <n v="38"/>
    <n v="67"/>
    <n v="38"/>
    <n v="10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x v="3"/>
    <n v="78"/>
    <n v="89"/>
    <n v="100"/>
    <n v="80"/>
    <n v="50"/>
    <n v="88"/>
    <n v="67"/>
    <n v="50"/>
    <n v="10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x v="6"/>
    <n v="89"/>
    <n v="89"/>
    <n v="100"/>
    <n v="80"/>
    <n v="83"/>
    <n v="88"/>
    <n v="67"/>
    <n v="100"/>
    <n v="10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x v="8"/>
    <n v="65"/>
    <n v="89"/>
    <n v="89"/>
    <n v="80"/>
    <n v="50"/>
    <n v="25"/>
    <n v="33"/>
    <n v="63"/>
    <n v="10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x v="3"/>
    <n v="76"/>
    <n v="89"/>
    <n v="89"/>
    <n v="80"/>
    <n v="50"/>
    <n v="75"/>
    <n v="100"/>
    <n v="63"/>
    <n v="0"/>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x v="9"/>
    <n v="82"/>
    <n v="89"/>
    <n v="90"/>
    <n v="80"/>
    <n v="50"/>
    <n v="88"/>
    <n v="100"/>
    <n v="75"/>
    <n v="10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x v="9"/>
    <n v="88"/>
    <n v="89"/>
    <n v="100"/>
    <n v="100"/>
    <n v="83"/>
    <n v="88"/>
    <n v="100"/>
    <n v="63"/>
    <n v="10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x v="1"/>
    <n v="71"/>
    <n v="100"/>
    <n v="67"/>
    <n v="80"/>
    <n v="50"/>
    <n v="88"/>
    <n v="0"/>
    <n v="57"/>
    <n v="10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x v="1"/>
    <n v="67"/>
    <n v="89"/>
    <n v="78"/>
    <n v="80"/>
    <n v="50"/>
    <n v="75"/>
    <n v="0"/>
    <n v="43"/>
    <n v="10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x v="1"/>
    <n v="60"/>
    <n v="78"/>
    <n v="78"/>
    <n v="60"/>
    <n v="50"/>
    <n v="38"/>
    <n v="67"/>
    <n v="43"/>
    <n v="10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x v="1"/>
    <n v="81"/>
    <n v="89"/>
    <n v="89"/>
    <n v="80"/>
    <n v="83"/>
    <n v="75"/>
    <n v="67"/>
    <n v="71"/>
    <n v="10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x v="6"/>
    <n v="78"/>
    <n v="89"/>
    <n v="89"/>
    <n v="80"/>
    <n v="83"/>
    <n v="63"/>
    <n v="100"/>
    <n v="50"/>
    <n v="10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x v="1"/>
    <n v="92"/>
    <n v="78"/>
    <n v="100"/>
    <n v="100"/>
    <n v="100"/>
    <n v="100"/>
    <n v="100"/>
    <n v="75"/>
    <n v="10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x v="1"/>
    <n v="59"/>
    <n v="89"/>
    <n v="78"/>
    <n v="80"/>
    <n v="17"/>
    <n v="38"/>
    <n v="100"/>
    <n v="25"/>
    <n v="10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x v="1"/>
    <n v="33"/>
    <n v="100"/>
    <n v="33"/>
    <n v="20"/>
    <n v="0"/>
    <n v="0"/>
    <n v="33"/>
    <n v="25"/>
    <n v="0"/>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x v="9"/>
    <n v="64"/>
    <n v="89"/>
    <n v="80"/>
    <n v="0"/>
    <n v="83"/>
    <n v="38"/>
    <n v="100"/>
    <n v="63"/>
    <n v="0"/>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x v="10"/>
    <n v="69"/>
    <n v="89"/>
    <n v="78"/>
    <n v="100"/>
    <n v="50"/>
    <n v="38"/>
    <n v="100"/>
    <n v="50"/>
    <n v="10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x v="11"/>
    <n v="83"/>
    <n v="89"/>
    <n v="67"/>
    <n v="100"/>
    <n v="100"/>
    <n v="75"/>
    <n v="100"/>
    <n v="71"/>
    <n v="10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x v="11"/>
    <n v="94"/>
    <n v="100"/>
    <n v="89"/>
    <n v="100"/>
    <n v="100"/>
    <n v="100"/>
    <n v="100"/>
    <n v="75"/>
    <n v="10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x v="11"/>
    <n v="80"/>
    <n v="100"/>
    <n v="70"/>
    <n v="80"/>
    <n v="83"/>
    <n v="100"/>
    <n v="100"/>
    <n v="38"/>
    <n v="10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x v="12"/>
    <n v="82"/>
    <n v="78"/>
    <n v="89"/>
    <n v="60"/>
    <n v="100"/>
    <n v="88"/>
    <n v="100"/>
    <n v="63"/>
    <n v="10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x v="7"/>
    <n v="84"/>
    <n v="78"/>
    <n v="89"/>
    <n v="80"/>
    <n v="100"/>
    <n v="75"/>
    <n v="100"/>
    <n v="75"/>
    <n v="10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x v="4"/>
    <n v="73"/>
    <n v="89"/>
    <n v="89"/>
    <n v="80"/>
    <n v="50"/>
    <n v="63"/>
    <n v="100"/>
    <n v="50"/>
    <n v="10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x v="4"/>
    <n v="39"/>
    <n v="78"/>
    <n v="67"/>
    <n v="0"/>
    <n v="17"/>
    <n v="13"/>
    <n v="67"/>
    <n v="25"/>
    <n v="0"/>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x v="13"/>
    <n v="71"/>
    <n v="89"/>
    <n v="78"/>
    <n v="60"/>
    <n v="50"/>
    <n v="75"/>
    <n v="67"/>
    <n v="63"/>
    <n v="10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x v="1"/>
    <n v="100"/>
    <n v="100"/>
    <n v="100"/>
    <n v="100"/>
    <n v="100"/>
    <n v="100"/>
    <n v="100"/>
    <n v="100"/>
    <n v="10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x v="6"/>
    <n v="94"/>
    <n v="89"/>
    <n v="90"/>
    <n v="100"/>
    <n v="100"/>
    <n v="100"/>
    <n v="100"/>
    <n v="88"/>
    <n v="10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x v="14"/>
    <n v="52"/>
    <n v="78"/>
    <n v="33"/>
    <n v="40"/>
    <n v="50"/>
    <n v="25"/>
    <n v="100"/>
    <n v="57"/>
    <n v="10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x v="8"/>
    <n v="62"/>
    <n v="100"/>
    <n v="80"/>
    <n v="0"/>
    <n v="50"/>
    <n v="50"/>
    <n v="100"/>
    <n v="50"/>
    <n v="0"/>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x v="4"/>
    <n v="94"/>
    <n v="100"/>
    <n v="100"/>
    <n v="100"/>
    <n v="100"/>
    <n v="100"/>
    <n v="100"/>
    <n v="63"/>
    <n v="10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x v="15"/>
    <n v="86"/>
    <n v="100"/>
    <n v="100"/>
    <n v="100"/>
    <n v="67"/>
    <n v="63"/>
    <n v="100"/>
    <n v="75"/>
    <n v="10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x v="12"/>
    <n v="94"/>
    <n v="100"/>
    <n v="100"/>
    <n v="100"/>
    <n v="67"/>
    <n v="100"/>
    <n v="100"/>
    <n v="88"/>
    <n v="10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x v="7"/>
    <n v="41"/>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x v="16"/>
    <n v="69"/>
    <n v="100"/>
    <n v="67"/>
    <n v="80"/>
    <n v="50"/>
    <n v="88"/>
    <n v="0"/>
    <n v="50"/>
    <n v="10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x v="16"/>
    <n v="69"/>
    <n v="100"/>
    <n v="78"/>
    <n v="80"/>
    <n v="50"/>
    <n v="75"/>
    <n v="0"/>
    <n v="50"/>
    <n v="10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x v="7"/>
    <n v="61"/>
    <n v="78"/>
    <n v="89"/>
    <n v="0"/>
    <n v="83"/>
    <n v="38"/>
    <n v="100"/>
    <n v="38"/>
    <n v="10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x v="4"/>
    <n v="92"/>
    <n v="100"/>
    <n v="100"/>
    <n v="100"/>
    <n v="100"/>
    <n v="75"/>
    <n v="100"/>
    <n v="75"/>
    <n v="10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x v="12"/>
    <n v="96"/>
    <n v="100"/>
    <n v="100"/>
    <n v="80"/>
    <n v="83"/>
    <n v="100"/>
    <n v="100"/>
    <n v="100"/>
    <n v="10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x v="4"/>
    <n v="34"/>
    <n v="89"/>
    <n v="70"/>
    <n v="0"/>
    <n v="0"/>
    <n v="0"/>
    <n v="67"/>
    <n v="0"/>
    <n v="0"/>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x v="17"/>
    <n v="53"/>
    <n v="89"/>
    <n v="78"/>
    <n v="20"/>
    <n v="50"/>
    <n v="13"/>
    <n v="67"/>
    <n v="38"/>
    <n v="10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x v="18"/>
    <n v="94"/>
    <n v="100"/>
    <n v="100"/>
    <n v="100"/>
    <n v="83"/>
    <n v="100"/>
    <n v="100"/>
    <n v="75"/>
    <n v="10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x v="19"/>
    <n v="61"/>
    <n v="78"/>
    <n v="67"/>
    <n v="40"/>
    <n v="50"/>
    <n v="88"/>
    <n v="33"/>
    <n v="38"/>
    <n v="10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x v="19"/>
    <n v="88"/>
    <n v="78"/>
    <n v="100"/>
    <n v="80"/>
    <n v="100"/>
    <n v="100"/>
    <n v="100"/>
    <n v="63"/>
    <n v="10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x v="20"/>
    <n v="77"/>
    <n v="100"/>
    <n v="89"/>
    <n v="80"/>
    <n v="17"/>
    <n v="100"/>
    <n v="100"/>
    <n v="57"/>
    <n v="0"/>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x v="20"/>
    <n v="33"/>
    <n v="78"/>
    <n v="56"/>
    <n v="20"/>
    <n v="0"/>
    <n v="0"/>
    <n v="33"/>
    <n v="29"/>
    <n v="0"/>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x v="20"/>
    <n v="35"/>
    <n v="78"/>
    <n v="67"/>
    <n v="40"/>
    <n v="0"/>
    <n v="0"/>
    <n v="0"/>
    <n v="25"/>
    <n v="0"/>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x v="21"/>
    <n v="65"/>
    <n v="89"/>
    <n v="78"/>
    <n v="40"/>
    <n v="50"/>
    <n v="63"/>
    <n v="67"/>
    <n v="43"/>
    <n v="10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n v="11078689"/>
    <s v="2022-10-01"/>
    <n v="58"/>
    <n v="100"/>
    <n v="56"/>
    <n v="80"/>
    <n v="17"/>
    <n v="50"/>
    <n v="0"/>
    <n v="57"/>
    <n v="10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n v="10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n v="10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n v="10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n v="10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n v="10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n v="0"/>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n v="0"/>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n v="10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n v="10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n v="10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n v="10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n v="10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n v="10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n v="10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n v="10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n v="10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n v="10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n v="0"/>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n v="10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n v="10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n v="10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n v="10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n v="10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n v="10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n v="10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n v="10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n v="10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n v="0"/>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n v="0"/>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n v="10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n v="10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n v="10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n v="10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n v="10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n v="10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n v="10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n v="0"/>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n v="10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n v="10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n v="10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n v="10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n v="0"/>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n v="10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n v="10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n v="10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n v="10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n v="10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n v="10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n v="10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n v="10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n v="0"/>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n v="10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n v="10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n v="10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n v="10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n v="0"/>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n v="0"/>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n v="0"/>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n v="10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r>
    <m/>
    <m/>
    <m/>
    <m/>
    <m/>
    <m/>
    <m/>
    <m/>
    <m/>
    <m/>
    <m/>
    <m/>
    <m/>
    <x v="4"/>
    <m/>
    <m/>
    <m/>
    <m/>
    <m/>
    <m/>
    <m/>
    <m/>
    <m/>
    <m/>
    <m/>
    <m/>
    <m/>
    <m/>
    <m/>
    <m/>
    <m/>
    <m/>
    <m/>
    <m/>
    <m/>
    <m/>
    <m/>
    <m/>
    <m/>
    <m/>
    <m/>
    <m/>
    <m/>
    <m/>
    <m/>
    <m/>
    <m/>
    <m/>
    <m/>
    <m/>
    <m/>
    <m/>
    <m/>
    <m/>
    <m/>
    <m/>
    <m/>
    <m/>
    <m/>
    <m/>
    <m/>
    <m/>
    <m/>
    <m/>
    <m/>
    <m/>
    <m/>
    <m/>
    <m/>
    <m/>
    <m/>
    <m/>
    <m/>
    <m/>
    <m/>
    <m/>
    <m/>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598FA0-4E25-4556-8290-2349F445B05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0" baseItem="0"/>
  </dataFields>
  <chartFormats count="2">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63F0BE-05DB-4AAF-8D83-9D21C3D7614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F7" firstHeaderRow="1" firstDataRow="2" firstDataCol="1"/>
  <pivotFields count="8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6">
        <item x="1"/>
        <item x="3"/>
        <item x="2"/>
        <item x="0"/>
        <item x="4"/>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Performance Grade" fld="82" subtotal="count" showDataAs="percentOfRow" baseField="0" baseItem="0" numFmtId="10"/>
  </dataFields>
  <chartFormats count="9">
    <chartFormat chart="0" format="0" series="1">
      <pivotArea type="data" outline="0" fieldPosition="0">
        <references count="1">
          <reference field="82" count="1" selected="0">
            <x v="0"/>
          </reference>
        </references>
      </pivotArea>
    </chartFormat>
    <chartFormat chart="0" format="1" series="1">
      <pivotArea type="data" outline="0" fieldPosition="0">
        <references count="1">
          <reference field="82" count="1" selected="0">
            <x v="1"/>
          </reference>
        </references>
      </pivotArea>
    </chartFormat>
    <chartFormat chart="0" format="2" series="1">
      <pivotArea type="data" outline="0" fieldPosition="0">
        <references count="1">
          <reference field="82" count="1" selected="0">
            <x v="2"/>
          </reference>
        </references>
      </pivotArea>
    </chartFormat>
    <chartFormat chart="0" format="3" series="1">
      <pivotArea type="data" outline="0" fieldPosition="0">
        <references count="1">
          <reference field="82" count="1" selected="0">
            <x v="3"/>
          </reference>
        </references>
      </pivotArea>
    </chartFormat>
    <chartFormat chart="0" format="4" series="1">
      <pivotArea type="data" outline="0" fieldPosition="0">
        <references count="1">
          <reference field="82" count="1" selected="0">
            <x v="4"/>
          </reference>
        </references>
      </pivotArea>
    </chartFormat>
    <chartFormat chart="0" format="5" series="1">
      <pivotArea type="data" outline="0" fieldPosition="0">
        <references count="2">
          <reference field="4294967294" count="1" selected="0">
            <x v="0"/>
          </reference>
          <reference field="82" count="1" selected="0">
            <x v="0"/>
          </reference>
        </references>
      </pivotArea>
    </chartFormat>
    <chartFormat chart="0" format="6" series="1">
      <pivotArea type="data" outline="0" fieldPosition="0">
        <references count="2">
          <reference field="4294967294" count="1" selected="0">
            <x v="0"/>
          </reference>
          <reference field="82" count="1" selected="0">
            <x v="1"/>
          </reference>
        </references>
      </pivotArea>
    </chartFormat>
    <chartFormat chart="0" format="7" series="1">
      <pivotArea type="data" outline="0" fieldPosition="0">
        <references count="2">
          <reference field="4294967294" count="1" selected="0">
            <x v="0"/>
          </reference>
          <reference field="82" count="1" selected="0">
            <x v="2"/>
          </reference>
        </references>
      </pivotArea>
    </chartFormat>
    <chartFormat chart="0" format="8" series="1">
      <pivotArea type="data" outline="0" fieldPosition="0">
        <references count="2">
          <reference field="4294967294" count="1" selected="0">
            <x v="0"/>
          </reference>
          <reference field="8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20DB88-D28A-402B-8F96-A3A2FEFCB33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6" firstHeaderRow="1" firstDataRow="1" firstDataCol="1"/>
  <pivotFields count="83">
    <pivotField showAll="0"/>
    <pivotField axis="axisRow"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valuation_Score" fld="2" subtotal="average" baseField="1" baseItem="0" numFmtId="2"/>
  </dataFields>
  <formats count="6">
    <format dxfId="96">
      <pivotArea type="all" dataOnly="0" outline="0" fieldPosition="0"/>
    </format>
    <format dxfId="95">
      <pivotArea outline="0" collapsedLevelsAreSubtotals="1" fieldPosition="0"/>
    </format>
    <format dxfId="94">
      <pivotArea field="1" type="button" dataOnly="0" labelOnly="1" outline="0" axis="axisRow" fieldPosition="0"/>
    </format>
    <format dxfId="93">
      <pivotArea dataOnly="0" labelOnly="1" fieldPosition="0">
        <references count="1">
          <reference field="1" count="0"/>
        </references>
      </pivotArea>
    </format>
    <format dxfId="92">
      <pivotArea dataOnly="0" labelOnly="1" grandRow="1" outline="0" fieldPosition="0"/>
    </format>
    <format dxfId="9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08D703-2426-45FC-AFB4-D38601B061D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8" firstHeaderRow="0" firstDataRow="1" firstDataCol="1"/>
  <pivotFields count="83">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2"/>
  </colFields>
  <colItems count="8">
    <i>
      <x/>
    </i>
    <i i="1">
      <x v="1"/>
    </i>
    <i i="2">
      <x v="2"/>
    </i>
    <i i="3">
      <x v="3"/>
    </i>
    <i i="4">
      <x v="4"/>
    </i>
    <i i="5">
      <x v="5"/>
    </i>
    <i i="6">
      <x v="6"/>
    </i>
    <i i="7">
      <x v="7"/>
    </i>
  </colItems>
  <dataFields count="8">
    <dataField name="Average of FIRST IMPRESSIONS" fld="4" subtotal="average" baseField="13" baseItem="2"/>
    <dataField name="Average of OBJECTION HANDLING" fld="8" subtotal="average" baseField="13" baseItem="2"/>
    <dataField name="Average of TRIAL EXPERIENCE &amp; UPSELL" fld="7" subtotal="average" baseField="13" baseItem="2"/>
    <dataField name="Average of STORE AMBIANCE" fld="3" subtotal="average" baseField="13" baseItem="2"/>
    <dataField name="Average of DISCOVERY" fld="5" subtotal="average" baseField="13" baseItem="0"/>
    <dataField name="Average of OVERALL EXPERIENCE" fld="10" subtotal="average" baseField="13" baseItem="2"/>
    <dataField name="Average of CLOSURE &amp; CARE" fld="9" subtotal="average" baseField="13" baseItem="2"/>
    <dataField name="Average of RECOMMENDATIONS" fld="6" subtotal="average" baseField="13" baseItem="2"/>
  </dataFields>
  <formats count="6">
    <format dxfId="90">
      <pivotArea type="all" dataOnly="0" outline="0" fieldPosition="0"/>
    </format>
    <format dxfId="89">
      <pivotArea outline="0" collapsedLevelsAreSubtotals="1" fieldPosition="0"/>
    </format>
    <format dxfId="88">
      <pivotArea field="13" type="button" dataOnly="0" labelOnly="1" outline="0" axis="axisRow" fieldPosition="0"/>
    </format>
    <format dxfId="87">
      <pivotArea dataOnly="0" labelOnly="1" fieldPosition="0">
        <references count="1">
          <reference field="13" count="0"/>
        </references>
      </pivotArea>
    </format>
    <format dxfId="86">
      <pivotArea dataOnly="0" labelOnly="1" grandRow="1" outline="0" fieldPosition="0"/>
    </format>
    <format dxfId="85">
      <pivotArea dataOnly="0" labelOnly="1" outline="0" fieldPosition="0">
        <references count="1">
          <reference field="4294967294" count="8">
            <x v="0"/>
            <x v="1"/>
            <x v="2"/>
            <x v="3"/>
            <x v="4"/>
            <x v="5"/>
            <x v="6"/>
            <x v="7"/>
          </reference>
        </references>
      </pivotArea>
    </format>
  </formats>
  <conditionalFormats count="1">
    <conditionalFormat priority="1">
      <pivotAreas count="1">
        <pivotArea type="data"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959D1E-9A88-44BA-B3C1-D2CC29A41EE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s>
  <rowFields count="1">
    <field x="82"/>
  </rowFields>
  <rowItems count="5">
    <i>
      <x/>
    </i>
    <i>
      <x v="1"/>
    </i>
    <i>
      <x v="2"/>
    </i>
    <i>
      <x v="3"/>
    </i>
    <i t="grand">
      <x/>
    </i>
  </rowItems>
  <colItems count="1">
    <i/>
  </colItems>
  <dataFields count="1">
    <dataField name="Average of Evaluation_Score" fld="2" subtotal="average" baseField="82" baseItem="0" numFmtId="2"/>
  </dataFields>
  <formats count="6">
    <format dxfId="106">
      <pivotArea type="all" dataOnly="0" outline="0" fieldPosition="0"/>
    </format>
    <format dxfId="105">
      <pivotArea outline="0" collapsedLevelsAreSubtotals="1" fieldPosition="0"/>
    </format>
    <format dxfId="104">
      <pivotArea field="82" type="button" dataOnly="0" labelOnly="1" outline="0" axis="axisRow" fieldPosition="0"/>
    </format>
    <format dxfId="103">
      <pivotArea dataOnly="0" labelOnly="1" fieldPosition="0">
        <references count="1">
          <reference field="82" count="0"/>
        </references>
      </pivotArea>
    </format>
    <format dxfId="102">
      <pivotArea dataOnly="0" labelOnly="1" grandRow="1" outline="0" fieldPosition="0"/>
    </format>
    <format dxfId="101">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9788B4-F96C-4CDE-967F-607E6D498E2F}" name="Table1" displayName="Table1" ref="A1:CE62" totalsRowShown="0" headerRowDxfId="84" dataDxfId="83" tableBorderDxfId="82">
  <autoFilter ref="A1:CE62" xr:uid="{429788B4-F96C-4CDE-967F-607E6D498E2F}"/>
  <tableColumns count="83">
    <tableColumn id="1" xr3:uid="{E7DC12B4-B2F3-4CFA-8404-C97B56D0F874}" name="Evaluation_ID" dataDxfId="81"/>
    <tableColumn id="2" xr3:uid="{3D19B5AA-25A3-4D11-91F2-CCF89436E1BF}" name="Evaluation_Date" dataDxfId="80"/>
    <tableColumn id="3" xr3:uid="{6C5B0239-95B9-4806-B714-854E2899AD18}" name="Evaluation_Score" dataDxfId="79"/>
    <tableColumn id="4" xr3:uid="{FAD26F5B-6EB3-48B7-B82E-08BDDC1D0D1D}" name="STORE AMBIANCE" dataDxfId="78"/>
    <tableColumn id="5" xr3:uid="{5B81B3DE-D6D4-4847-8C6E-CB1A4AB49C4D}" name="FIRST IMPRESSIONS" dataDxfId="77"/>
    <tableColumn id="6" xr3:uid="{BBE0ADF8-C4EB-4EC1-947F-032131D6EF52}" name="DISCOVERY" dataDxfId="76"/>
    <tableColumn id="7" xr3:uid="{BB540301-DFBA-43D9-9C5C-399D083737F4}" name="RECOMMENDATIONS" dataDxfId="75"/>
    <tableColumn id="8" xr3:uid="{C48EF3AC-D49A-4B50-86CC-E78322299168}" name="TRIAL EXPERIENCE &amp; UPSELL" dataDxfId="74"/>
    <tableColumn id="9" xr3:uid="{02AC7969-5739-412A-9C2C-51045EA258AF}" name="OBJECTION HANDLING" dataDxfId="73"/>
    <tableColumn id="10" xr3:uid="{9D90DE5A-B7E9-4BDB-85C2-71F70DA440BA}" name="CLOSURE &amp; CARE" dataDxfId="72"/>
    <tableColumn id="11" xr3:uid="{2632E685-E155-4E17-B518-7BC851E21B2E}" name="OVERALL EXPERIENCE" dataDxfId="71"/>
    <tableColumn id="12" xr3:uid="{E34C32D4-78C0-49EE-A60E-98C086BD07AB}" name="Location_City" dataDxfId="70"/>
    <tableColumn id="13" xr3:uid="{039DC3C7-766E-4A45-951A-EFF6A0A6067C}" name="Location_State" dataDxfId="69"/>
    <tableColumn id="14" xr3:uid="{4F6E97A5-D845-4234-958C-3E7A5ED28E8D}" name="Zone" dataDxfId="68"/>
    <tableColumn id="15" xr3:uid="{B470C3C4-818B-448F-A9F0-43B4A864A1E0}" name="Location_Country" dataDxfId="67"/>
    <tableColumn id="16" xr3:uid="{536345D4-7F6D-48B9-9022-DCD8B08FC1B0}" name="Time of entry:" dataDxfId="66"/>
    <tableColumn id="17" xr3:uid="{C3F11CF0-E4FA-40F2-B855-0EB9AE643AF1}" name="Time of exit:" dataDxfId="65"/>
    <tableColumn id="18" xr3:uid="{BFFCB55D-FC55-45AE-A098-83AA724824CE}" name="Duration of visit:" dataDxfId="64"/>
    <tableColumn id="19" xr3:uid="{B0E9C8EE-F943-46C3-89C4-A06BF0D5BFC1}" name="How many Style Advisors were present in the store during your visit?" dataDxfId="63"/>
    <tableColumn id="20" xr3:uid="{FF018367-38A5-44FE-ADAA-17683A68E709}" name="How many customers were present in the store during your visit?" dataDxfId="62"/>
    <tableColumn id="21" xr3:uid="{5C45B4C1-2239-43A1-9C9B-BA508316C986}" name="Age of the Auditor:" dataDxfId="61"/>
    <tableColumn id="22" xr3:uid="{65ECE1BC-AF72-428D-A898-AD0C8C4E7920}" name="Gender of Auditor:" dataDxfId="60"/>
    <tableColumn id="23" xr3:uid="{128610A0-B8C4-469B-B5A6-30FD18A624FA}" name="Please describe what you were wearing during your visit." dataDxfId="59"/>
    <tableColumn id="24" xr3:uid="{63EDC8EF-1031-4563-BAFB-057427AD4BDF}" name="Name of the Style Advisor who attended to you:" dataDxfId="58"/>
    <tableColumn id="25" xr3:uid="{2F9ED6FD-3956-4A24-8728-594E3165DBEC}" name="Please provide a detailed physical description (gender, approx. height, complexion, hair colour, wore spectacles, wearing Company branded t-shirt, plain jeans, shoes, proper shave and hairstyle done, etc.)" dataDxfId="57"/>
    <tableColumn id="26" xr3:uid="{8B758436-1663-458B-8EC3-1F950C92D8B1}" name="1.1 -  Was the exterior signage clean and well lit?" dataDxfId="56"/>
    <tableColumn id="27" xr3:uid="{EACC96AF-307A-4C38-A22D-418178322F50}" name="1.2 -  Was the store threshold, entrance and overall look inviting?" dataDxfId="55"/>
    <tableColumn id="28" xr3:uid="{A4BE6300-EF99-4B3D-B9C7-370D97EBE0D5}" name="1.3 -  Were all the fixtures and other tangibles in good condition (walls, lights, floor, etc.)?" dataDxfId="54"/>
    <tableColumn id="29" xr3:uid="{59D67B81-DB2F-4A91-BA04-08E23B6EEAB2}" name="1.4 -  Was there any music playing at the store?" dataDxfId="53"/>
    <tableColumn id="30" xr3:uid="{19FB7C24-7E94-41EF-BBE6-20D1B480E291}" name="1.5 -  Was the digital screen in the store operational during your visit?" dataDxfId="52"/>
    <tableColumn id="31" xr3:uid="{14050719-CF91-453A-A50D-569C744518EE}" name="1.6 -  Did you see any cartons, etc. lying around?" dataDxfId="51"/>
    <tableColumn id="32" xr3:uid="{5D4C9619-76F8-4646-A35A-10695757E8DF}" name="1.7 - Was the merchandise displayed and arranged well on the drawers/shelves/display tables?" dataDxfId="50"/>
    <tableColumn id="33" xr3:uid="{67E812E1-C73D-48C4-A6FF-26E4CF7F4C1A}" name="1.8 - Was the merchandise arranged according to the brand and frame type?" dataDxfId="49"/>
    <tableColumn id="34" xr3:uid="{78C76B57-2DFD-43E3-957E-D46DE7F14B85}" name="1.9 - Upon your entrance, did you feel welcomed to freely move and explore the store?" dataDxfId="48"/>
    <tableColumn id="35" xr3:uid="{7AB8696B-3B65-4809-AF2D-3093697BE54B}" name="1.10 -  Additional remarks, if any." dataDxfId="47"/>
    <tableColumn id="36" xr3:uid="{5134511E-31F3-4E3A-AD89-5657F1801741}" name="2.1 - What was your first impression when you entered the store? Please mention the details." dataDxfId="46"/>
    <tableColumn id="37" xr3:uid="{29EFFA07-67F5-4242-98B5-2F009149A30F}" name="2.1.1 Please justify your reason for the above marking." dataDxfId="45"/>
    <tableColumn id="38" xr3:uid="{F87E17AE-FC3C-4EE9-A8D0-A68E77F69E2A}" name="2.2 - Were you acknowledged and greeted with the following:" dataDxfId="44"/>
    <tableColumn id="39" xr3:uid="{BE6855FD-6B1A-4878-839B-636704E57566}" name="2.3 - How long did you have to wait to receive service from the Style Advisor (from the moment you entered the store until you received service from the advisor)?" dataDxfId="43"/>
    <tableColumn id="40" xr3:uid="{2F8F867A-4F44-4377-8C15-86464DC34B30}" name="2.4 - Was the store temperature maintained at a comfortable level?" dataDxfId="42"/>
    <tableColumn id="41" xr3:uid="{F1E6D2CE-545D-47D4-A18A-402FD8A56E88}" name="2.5 - Was there a pleasant aroma inside the store?" dataDxfId="41"/>
    <tableColumn id="42" xr3:uid="{84352050-0044-495F-84B6-84242CF42843}" name="2.6 - Were the racks and signages for offers neat and clean, and was the cashier desk neat and well stocked?" dataDxfId="40"/>
    <tableColumn id="43" xr3:uid="{4F4DFCC8-0DA5-4464-9D05-CC5762F0550D}" name="2.7 -   Were you proactively approached by the Style Advisor to initiate in an icebreaking, non transactional conversation? (Eg: &quot;Nice shades/watch/denims!&quot;, &quot;I must say you have great taste&quot;)" dataDxfId="39"/>
    <tableColumn id="44" xr3:uid="{3909E903-A038-417B-A3AF-A425B3E363BB}" name="2.8 - Were you given assistance with your bags, if you had any? (mark N/A if you did not have any bags)" dataDxfId="38"/>
    <tableColumn id="45" xr3:uid="{9AF7DC78-8FC3-434E-A257-839EC8C868CE}" name="3.1 -   Did Style Advisor proactively engage you in a conversation to understand your needs and wants? Questions may include occasion/reason for purchase, lifestyle, choice of colour, style, material, volume, function, size, etc." dataDxfId="37"/>
    <tableColumn id="46" xr3:uid="{3AB2CF6D-25D4-400D-8D77-7968DAC042A6}" name="3.2 - Did Style Advisor genuinely show an interest in your needs and listen to you empathically?" dataDxfId="36"/>
    <tableColumn id="47" xr3:uid="{824AAC66-766C-470C-9E0E-4F472BE9B431}" name="3.3 - What were the questions asked by the Style Advisor to discover your needs?" dataDxfId="35"/>
    <tableColumn id="48" xr3:uid="{80391766-097E-433E-BC77-4B54B6D06259}" name="3.4 - While presenting the product, did the Style Advisor tell you about the brand?" dataDxfId="34"/>
    <tableColumn id="49" xr3:uid="{5F3C7A3A-6A63-498E-BB2D-CAC1C7B18FA7}" name="3.5 - Additional remarks, if any." dataDxfId="33"/>
    <tableColumn id="50" xr3:uid="{7CC369B7-2B5C-40DB-8E2C-F1499A6DBEB1}" name="3.6 - When you stated your interest in a specific brand, did the Style Advisor respond by asking you questions about your product needs?" dataDxfId="32"/>
    <tableColumn id="51" xr3:uid="{E3C8DB59-D50D-4F06-ACA3-D884157FB420}" name="3.6.1 - If yes, what were the questions asked pertaining to that brand?" dataDxfId="31"/>
    <tableColumn id="52" xr3:uid="{C59B6D37-FC9F-482D-9301-6F742C5C45EE}" name="4.1 - Were multiple options introduced  across the brands as per your needs?" dataDxfId="30"/>
    <tableColumn id="53" xr3:uid="{B8B2EA55-65FE-41AE-A768-6EC0B31B9C04}" name="4.2 - Did Style Advisor share the current season's inspiration or craftsmanship of the product?" dataDxfId="29"/>
    <tableColumn id="54" xr3:uid="{5B675BBF-D38E-436E-AFA7-67AB29669004}" name="4.3 - While showing the options, did the Style Advisor talk about the characteristics of the product and how it will benefit you and meet your needs? (This may include the name of the product, their style, quality or type of material, comfort, etc.)" dataDxfId="28"/>
    <tableColumn id="55" xr3:uid="{9CD5A3FE-FCEA-4ABC-A845-382ABCEB85A8}" name="4.4 - Did they briefly share the brand story with you?" dataDxfId="27"/>
    <tableColumn id="56" xr3:uid="{7579E12D-D71B-4FCA-84C4-7439EFED312B}" name="5.1 - Were you encouraged to touch/feel and try the products?" dataDxfId="26"/>
    <tableColumn id="57" xr3:uid="{4A19CBA7-DF7E-4485-9C38-343FDF800A2C}" name="5.2 - Did Style Advisor offer compliments/corrections post-trial?" dataDxfId="25"/>
    <tableColumn id="58" xr3:uid="{21D59001-B0C1-4783-94A5-D9BB60A6C780}" name="5.3 - Did the Style Advisor offer appropriate recommendations as per your facial characteristics and anatomy?" dataDxfId="24"/>
    <tableColumn id="59" xr3:uid="{EA7C9607-4950-4FE0-8DB1-F09D03399CB4}" name="5.4 - Did the Style Advisor clean the sunglasses before the trial?" dataDxfId="23"/>
    <tableColumn id="60" xr3:uid="{4904F5CC-C63D-4B75-9EFA-A7F41D691E80}" name="5.5 - Did the Style Advisor use the styling tray and microfiber cloth during the trial and demonstration?" dataDxfId="22"/>
    <tableColumn id="61" xr3:uid="{DEEC54AA-4B5D-4E9A-84B7-ADDDC373FB0C}" name="5.6 - Did the Style Advisor try to get your feedback as well as give suggestions about the products being shown and tried on?" dataDxfId="21"/>
    <tableColumn id="62" xr3:uid="{45CBC176-511F-4F3F-9075-164EEFCA46C2}" name="5.7 - Did the Style Advisor try to up-sell products from different categories? (Recommend product eg New arrivals, festive collections etc)?" dataDxfId="20"/>
    <tableColumn id="63" xr3:uid="{43943140-369C-4F44-9DEB-B0E8A0B761A6}" name="5.8 - Please mention the details of the product recommended." dataDxfId="19"/>
    <tableColumn id="64" xr3:uid="{09A4067F-14E6-4BB0-BCD9-56E8C51145DD}" name="5.9 - Please share your overall trial experience." dataDxfId="18"/>
    <tableColumn id="65" xr3:uid="{B66E5E53-5B0B-4E9C-908B-13605AC938E1}" name="6.1 - What objection did you raise during the visit for the recommended product/brand?" dataDxfId="17"/>
    <tableColumn id="66" xr3:uid="{653F923E-539D-4FB6-8624-7583206B85AF}" name="6.1.1 - If other, please elaborate" dataDxfId="16"/>
    <tableColumn id="67" xr3:uid="{31EA19F0-C074-4A07-85C8-5EEDCBEA4AF1}" name="6.2 - If you raised an objection on a product, did the Style Advisor make an effort to understand the reason for your hesitation?" dataDxfId="15"/>
    <tableColumn id="68" xr3:uid="{C85761A1-71FF-44F1-AC79-5B1DAA0ABC13}" name="6.3 - Did the Style Advisor answer your objection appropriately and address the concern that you brought up?" dataDxfId="14"/>
    <tableColumn id="69" xr3:uid="{48F3EF02-1524-42C0-A940-1B8D18709B34}" name="6.4 -    Did the Style Advisor show you any other product to match your need?" dataDxfId="13"/>
    <tableColumn id="70" xr3:uid="{712B3CA7-2F9C-4F02-A092-B9696DA86625}" name="7.1 - At the end of the interaction, did the Style Advisor do any of the following?" dataDxfId="12"/>
    <tableColumn id="71" xr3:uid="{95FCEA81-71DE-411E-A37F-EA86BFAB5E59}" name="7.1.1 - If other, please specify." dataDxfId="11"/>
    <tableColumn id="72" xr3:uid="{00AC2EC8-E190-44CF-A485-29E34268F0FD}" name="7.2 - Did the Style Advisor try to close the sale in a pleasant and positive manner?" dataDxfId="10"/>
    <tableColumn id="73" xr3:uid="{B74D709B-BFE9-4122-8EA9-B37F534A3B67}" name="7.3 - Did the Style Advisor talk about the ongoing offers during the conversation?" dataDxfId="9"/>
    <tableColumn id="74" xr3:uid="{EFF04B8B-40BB-4D31-A1E2-2A69CCEB7D79}" name="7.4 - Did the Style Advisor talk about the &quot;Sun Perks&quot; loyalty program?" dataDxfId="8"/>
    <tableColumn id="75" xr3:uid="{5B7F72CE-4271-4587-A6E7-BAEF71B97D8E}" name="7.5 - Did the Style Advisor talk about the benefits of  &quot;Perfect Pair Promise&quot;?" dataDxfId="7"/>
    <tableColumn id="76" xr3:uid="{83313E8F-03FC-4F6B-9818-0674E17F97E2}" name="7.6 - Did the Style Advisor's attitude change when he/she realized that you would not be buying the product on the same day?" dataDxfId="6"/>
    <tableColumn id="77" xr3:uid="{FC3438C9-7EC9-489B-AD58-1EE4E146F847}" name="7.7 - Did Style Advisor share a reason to come back (possibly including dates for an upcoming collection, any events or offers)?" dataDxfId="5"/>
    <tableColumn id="78" xr3:uid="{3F270F20-C146-42A7-B3AD-B5DA00CC504C}" name="7.8 - Did the Style Advisor thank you for visiting the store?" dataDxfId="4"/>
    <tableColumn id="79" xr3:uid="{4A1DE387-C96E-4565-835E-D3E5F696D04B}" name="7.9 - Did Style Advisor accompany you to the exit, bid you farewell in warm manner, and invite you to come back?" dataDxfId="3"/>
    <tableColumn id="80" xr3:uid="{92147784-7FDB-46D4-961B-A3518750D42F}" name="8.1 - On a scale of 1 to 10, how likely is it that you will come back to the Sunglass Hut?" dataDxfId="2"/>
    <tableColumn id="81" xr3:uid="{34C5D9B5-F20A-4D91-8FF5-EE611CBF9946}" name="8.2 - Did you find Style Advisor engaging &amp; displaying positive body language during entire conversation?" dataDxfId="1"/>
    <tableColumn id="82" xr3:uid="{254DED22-D5F4-4EA4-A380-D3DF93241A68}" name="8.3 -   On a scale of 1 to 10, rate the Style Advisor on his/her overall assistance during the visit." dataDxfId="0"/>
    <tableColumn id="83" xr3:uid="{A4A52579-4387-4F53-A38A-4748C4924D48}" name="Performance Grade">
      <calculatedColumnFormula>IF(C2&gt;=90,"High Performer",IF(C2&gt;=70,"Average Performer",IF(C2&gt;=50,"Low Performer","Bottom Performer")))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5AF3F5-4801-488F-B3D7-46E0E54CBF55}" name="Table3" displayName="Table3" ref="A1:B5" totalsRowShown="0" headerRowDxfId="100" headerRowBorderDxfId="99">
  <autoFilter ref="A1:B5" xr:uid="{EC5AF3F5-4801-488F-B3D7-46E0E54CBF55}"/>
  <tableColumns count="2">
    <tableColumn id="1" xr3:uid="{D069822C-1E2E-4434-A7F9-2DCF82478494}" name="Row Labels" dataDxfId="98"/>
    <tableColumn id="2" xr3:uid="{3D5873B9-4A91-4AE5-991F-2CA17D91BA09}" name="High Performer" dataDxfId="9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62"/>
  <sheetViews>
    <sheetView topLeftCell="A2" zoomScale="85" zoomScaleNormal="85" workbookViewId="0">
      <selection activeCell="D15" sqref="D15"/>
    </sheetView>
  </sheetViews>
  <sheetFormatPr defaultRowHeight="14.4" x14ac:dyDescent="0.3"/>
  <cols>
    <col min="1" max="1" width="15.5546875" customWidth="1"/>
    <col min="2" max="2" width="17.88671875" customWidth="1"/>
    <col min="3" max="3" width="18.5546875" customWidth="1"/>
    <col min="4" max="4" width="19.5546875" customWidth="1"/>
    <col min="5" max="5" width="21.44140625" customWidth="1"/>
    <col min="6" max="6" width="13.5546875" customWidth="1"/>
    <col min="7" max="7" width="22.88671875" customWidth="1"/>
    <col min="8" max="8" width="28.88671875" customWidth="1"/>
    <col min="9" max="9" width="24" customWidth="1"/>
    <col min="10" max="10" width="18.77734375" customWidth="1"/>
    <col min="11" max="11" width="22.88671875" customWidth="1"/>
    <col min="12" max="12" width="15.109375" customWidth="1"/>
    <col min="13" max="13" width="16.44140625" bestFit="1" customWidth="1"/>
    <col min="15" max="15" width="19" customWidth="1"/>
    <col min="16" max="16" width="16" customWidth="1"/>
    <col min="17" max="17" width="14.5546875" customWidth="1"/>
    <col min="18" max="18" width="18.33203125" customWidth="1"/>
    <col min="19" max="19" width="67.109375" customWidth="1"/>
    <col min="20" max="20" width="63.77734375" customWidth="1"/>
    <col min="21" max="21" width="20.5546875" customWidth="1"/>
    <col min="22" max="22" width="20.21875" customWidth="1"/>
    <col min="23" max="23" width="183.109375" bestFit="1" customWidth="1"/>
    <col min="24" max="24" width="47.5546875" customWidth="1"/>
    <col min="25" max="25" width="228" bestFit="1" customWidth="1"/>
    <col min="26" max="26" width="48.33203125" bestFit="1" customWidth="1"/>
    <col min="27" max="27" width="63.44140625" bestFit="1" customWidth="1"/>
    <col min="28" max="28" width="87.109375" bestFit="1" customWidth="1"/>
    <col min="29" max="29" width="46.77734375" customWidth="1"/>
    <col min="30" max="30" width="67.88671875" bestFit="1" customWidth="1"/>
    <col min="31" max="31" width="47.5546875" customWidth="1"/>
    <col min="32" max="32" width="105.44140625" bestFit="1" customWidth="1"/>
    <col min="33" max="33" width="73.88671875" bestFit="1" customWidth="1"/>
    <col min="34" max="34" width="83.5546875" bestFit="1" customWidth="1"/>
    <col min="35" max="35" width="255.6640625" bestFit="1" customWidth="1"/>
    <col min="36" max="36" width="90.109375" bestFit="1" customWidth="1"/>
    <col min="37" max="37" width="53.44140625" customWidth="1"/>
    <col min="38" max="38" width="60.21875" customWidth="1"/>
    <col min="39" max="39" width="155.6640625" bestFit="1" customWidth="1"/>
    <col min="40" max="40" width="65.6640625" customWidth="1"/>
    <col min="41" max="41" width="49.5546875" customWidth="1"/>
    <col min="42" max="42" width="105.6640625" bestFit="1" customWidth="1"/>
    <col min="43" max="43" width="184.33203125" bestFit="1" customWidth="1"/>
    <col min="44" max="44" width="100.33203125" bestFit="1" customWidth="1"/>
    <col min="45" max="45" width="217.6640625" bestFit="1" customWidth="1"/>
    <col min="46" max="46" width="92.109375" bestFit="1" customWidth="1"/>
    <col min="47" max="47" width="255.6640625" bestFit="1" customWidth="1"/>
    <col min="48" max="48" width="78.6640625" bestFit="1" customWidth="1"/>
    <col min="49" max="49" width="255.6640625" bestFit="1" customWidth="1"/>
    <col min="50" max="50" width="131.33203125" bestFit="1" customWidth="1"/>
    <col min="51" max="51" width="255.6640625" bestFit="1" customWidth="1"/>
    <col min="52" max="52" width="74.44140625" bestFit="1" customWidth="1"/>
    <col min="53" max="53" width="90.33203125" bestFit="1" customWidth="1"/>
    <col min="54" max="54" width="234.33203125" bestFit="1" customWidth="1"/>
    <col min="55" max="55" width="51.88671875" customWidth="1"/>
    <col min="56" max="56" width="61" customWidth="1"/>
    <col min="57" max="57" width="62" customWidth="1"/>
    <col min="58" max="58" width="105.88671875" bestFit="1" customWidth="1"/>
    <col min="59" max="59" width="62" bestFit="1" customWidth="1"/>
    <col min="60" max="60" width="98.5546875" bestFit="1" customWidth="1"/>
    <col min="61" max="61" width="120.109375" bestFit="1" customWidth="1"/>
    <col min="62" max="62" width="133" bestFit="1" customWidth="1"/>
    <col min="63" max="64" width="255.6640625" bestFit="1" customWidth="1"/>
    <col min="65" max="65" width="84.44140625" bestFit="1" customWidth="1"/>
    <col min="66" max="66" width="32.77734375" customWidth="1"/>
    <col min="67" max="67" width="121.6640625" bestFit="1" customWidth="1"/>
    <col min="68" max="68" width="105" bestFit="1" customWidth="1"/>
    <col min="69" max="69" width="74.33203125" bestFit="1" customWidth="1"/>
    <col min="70" max="70" width="255.6640625" bestFit="1" customWidth="1"/>
    <col min="71" max="71" width="63" bestFit="1" customWidth="1"/>
    <col min="72" max="72" width="79" bestFit="1" customWidth="1"/>
    <col min="73" max="73" width="78" bestFit="1" customWidth="1"/>
    <col min="74" max="74" width="67.44140625" bestFit="1" customWidth="1"/>
    <col min="75" max="75" width="73.5546875" bestFit="1" customWidth="1"/>
    <col min="76" max="76" width="121.33203125" bestFit="1" customWidth="1"/>
    <col min="77" max="77" width="122.33203125" bestFit="1" customWidth="1"/>
    <col min="78" max="78" width="56.88671875" customWidth="1"/>
    <col min="79" max="79" width="109.109375" bestFit="1" customWidth="1"/>
    <col min="80" max="80" width="84" bestFit="1" customWidth="1"/>
    <col min="81" max="81" width="101.5546875" bestFit="1" customWidth="1"/>
    <col min="82" max="82" width="88" bestFit="1" customWidth="1"/>
    <col min="83" max="83" width="20.88671875" customWidth="1"/>
  </cols>
  <sheetData>
    <row r="1" spans="1:83" s="3" customFormat="1" ht="15.6" x14ac:dyDescent="0.3">
      <c r="A1" s="8"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4" t="s">
        <v>785</v>
      </c>
    </row>
    <row r="2" spans="1:83" x14ac:dyDescent="0.3">
      <c r="A2" s="9">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c r="CE2" t="str">
        <f>IF(C2&gt;=90,"High Performer",IF(C2&gt;=70,"Average Performer",IF(C2&gt;=50,"Low Performer","Bottom Performer")))</f>
        <v>Low Performer</v>
      </c>
    </row>
    <row r="3" spans="1:83" x14ac:dyDescent="0.3">
      <c r="A3" s="9">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c r="CE3" t="str">
        <f t="shared" ref="CE3:CE62" si="0">IF(C3&gt;=90,"High Performer",IF(C3&gt;=70,"Average Performer",IF(C3&gt;=50,"Low Performer","Bottom Performer")))</f>
        <v>Average Performer</v>
      </c>
    </row>
    <row r="4" spans="1:83" x14ac:dyDescent="0.3">
      <c r="A4" s="9">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c r="CE4" t="str">
        <f t="shared" si="0"/>
        <v>Average Performer</v>
      </c>
    </row>
    <row r="5" spans="1:83" x14ac:dyDescent="0.3">
      <c r="A5" s="9">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c r="CE5" t="str">
        <f t="shared" si="0"/>
        <v>Average Performer</v>
      </c>
    </row>
    <row r="6" spans="1:83" x14ac:dyDescent="0.3">
      <c r="A6" s="9">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c r="CE6" t="str">
        <f t="shared" si="0"/>
        <v>Average Performer</v>
      </c>
    </row>
    <row r="7" spans="1:83" x14ac:dyDescent="0.3">
      <c r="A7" s="9">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c r="CE7" t="str">
        <f t="shared" si="0"/>
        <v>High Performer</v>
      </c>
    </row>
    <row r="8" spans="1:83" x14ac:dyDescent="0.3">
      <c r="A8" s="9">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c r="CE8" t="str">
        <f t="shared" si="0"/>
        <v>Bottom Performer</v>
      </c>
    </row>
    <row r="9" spans="1:83" x14ac:dyDescent="0.3">
      <c r="A9" s="9">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c r="CE9" t="str">
        <f t="shared" si="0"/>
        <v>Bottom Performer</v>
      </c>
    </row>
    <row r="10" spans="1:83" x14ac:dyDescent="0.3">
      <c r="A10" s="9">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c r="CE10" t="str">
        <f t="shared" si="0"/>
        <v>Average Performer</v>
      </c>
    </row>
    <row r="11" spans="1:83" x14ac:dyDescent="0.3">
      <c r="A11" s="9">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c r="CE11" t="str">
        <f t="shared" si="0"/>
        <v>Average Performer</v>
      </c>
    </row>
    <row r="12" spans="1:83" x14ac:dyDescent="0.3">
      <c r="A12" s="9">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c r="CE12" t="str">
        <f t="shared" si="0"/>
        <v>Average Performer</v>
      </c>
    </row>
    <row r="13" spans="1:83" x14ac:dyDescent="0.3">
      <c r="A13" s="9">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c r="CE13" t="str">
        <f t="shared" si="0"/>
        <v>Average Performer</v>
      </c>
    </row>
    <row r="14" spans="1:83" x14ac:dyDescent="0.3">
      <c r="A14" s="9">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c r="CE14" t="str">
        <f t="shared" si="0"/>
        <v>Average Performer</v>
      </c>
    </row>
    <row r="15" spans="1:83" x14ac:dyDescent="0.3">
      <c r="A15" s="9">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c r="CE15" t="str">
        <f t="shared" si="0"/>
        <v>Average Performer</v>
      </c>
    </row>
    <row r="16" spans="1:83" x14ac:dyDescent="0.3">
      <c r="A16" s="9">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c r="CE16" t="str">
        <f t="shared" si="0"/>
        <v>Low Performer</v>
      </c>
    </row>
    <row r="17" spans="1:83" x14ac:dyDescent="0.3">
      <c r="A17" s="9">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c r="CE17" t="str">
        <f t="shared" si="0"/>
        <v>Average Performer</v>
      </c>
    </row>
    <row r="18" spans="1:83" x14ac:dyDescent="0.3">
      <c r="A18" s="9">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c r="CE18" t="str">
        <f t="shared" si="0"/>
        <v>Average Performer</v>
      </c>
    </row>
    <row r="19" spans="1:83" x14ac:dyDescent="0.3">
      <c r="A19" s="9">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c r="CE19" t="str">
        <f t="shared" si="0"/>
        <v>Low Performer</v>
      </c>
    </row>
    <row r="20" spans="1:83" x14ac:dyDescent="0.3">
      <c r="A20" s="9">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c r="CE20" t="str">
        <f t="shared" si="0"/>
        <v>Average Performer</v>
      </c>
    </row>
    <row r="21" spans="1:83" x14ac:dyDescent="0.3">
      <c r="A21" s="9">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c r="CE21" t="str">
        <f t="shared" si="0"/>
        <v>Average Performer</v>
      </c>
    </row>
    <row r="22" spans="1:83" x14ac:dyDescent="0.3">
      <c r="A22" s="9">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c r="CE22" t="str">
        <f t="shared" si="0"/>
        <v>Average Performer</v>
      </c>
    </row>
    <row r="23" spans="1:83" x14ac:dyDescent="0.3">
      <c r="A23" s="9">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c r="CE23" t="str">
        <f t="shared" si="0"/>
        <v>Average Performer</v>
      </c>
    </row>
    <row r="24" spans="1:83" x14ac:dyDescent="0.3">
      <c r="A24" s="9">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c r="CE24" t="str">
        <f t="shared" si="0"/>
        <v>Low Performer</v>
      </c>
    </row>
    <row r="25" spans="1:83" x14ac:dyDescent="0.3">
      <c r="A25" s="9">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c r="CE25" t="str">
        <f t="shared" si="0"/>
        <v>Low Performer</v>
      </c>
    </row>
    <row r="26" spans="1:83" x14ac:dyDescent="0.3">
      <c r="A26" s="9">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c r="CE26" t="str">
        <f t="shared" si="0"/>
        <v>Average Performer</v>
      </c>
    </row>
    <row r="27" spans="1:83" x14ac:dyDescent="0.3">
      <c r="A27" s="9">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c r="CE27" t="str">
        <f t="shared" si="0"/>
        <v>Average Performer</v>
      </c>
    </row>
    <row r="28" spans="1:83" x14ac:dyDescent="0.3">
      <c r="A28" s="9">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c r="CE28" t="str">
        <f t="shared" si="0"/>
        <v>High Performer</v>
      </c>
    </row>
    <row r="29" spans="1:83" x14ac:dyDescent="0.3">
      <c r="A29" s="9">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c r="CE29" t="str">
        <f t="shared" si="0"/>
        <v>Low Performer</v>
      </c>
    </row>
    <row r="30" spans="1:83" x14ac:dyDescent="0.3">
      <c r="A30" s="9">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c r="CE30" t="str">
        <f t="shared" si="0"/>
        <v>Bottom Performer</v>
      </c>
    </row>
    <row r="31" spans="1:83" x14ac:dyDescent="0.3">
      <c r="A31" s="9">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c r="CE31" t="str">
        <f t="shared" si="0"/>
        <v>Low Performer</v>
      </c>
    </row>
    <row r="32" spans="1:83" x14ac:dyDescent="0.3">
      <c r="A32" s="9">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c r="CE32" t="str">
        <f t="shared" si="0"/>
        <v>Low Performer</v>
      </c>
    </row>
    <row r="33" spans="1:83" x14ac:dyDescent="0.3">
      <c r="A33" s="9">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c r="CE33" t="str">
        <f t="shared" si="0"/>
        <v>Average Performer</v>
      </c>
    </row>
    <row r="34" spans="1:83" x14ac:dyDescent="0.3">
      <c r="A34" s="9">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c r="CE34" t="str">
        <f t="shared" si="0"/>
        <v>High Performer</v>
      </c>
    </row>
    <row r="35" spans="1:83" x14ac:dyDescent="0.3">
      <c r="A35" s="9">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c r="CE35" t="str">
        <f t="shared" si="0"/>
        <v>Average Performer</v>
      </c>
    </row>
    <row r="36" spans="1:83" x14ac:dyDescent="0.3">
      <c r="A36" s="9">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c r="CE36" t="str">
        <f t="shared" si="0"/>
        <v>Average Performer</v>
      </c>
    </row>
    <row r="37" spans="1:83" x14ac:dyDescent="0.3">
      <c r="A37" s="9">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c r="CE37" t="str">
        <f t="shared" si="0"/>
        <v>Average Performer</v>
      </c>
    </row>
    <row r="38" spans="1:83" x14ac:dyDescent="0.3">
      <c r="A38" s="9">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c r="CE38" t="str">
        <f t="shared" si="0"/>
        <v>Average Performer</v>
      </c>
    </row>
    <row r="39" spans="1:83" x14ac:dyDescent="0.3">
      <c r="A39" s="9">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c r="CE39" t="str">
        <f t="shared" si="0"/>
        <v>Bottom Performer</v>
      </c>
    </row>
    <row r="40" spans="1:83" x14ac:dyDescent="0.3">
      <c r="A40" s="9">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c r="CE40" t="str">
        <f t="shared" si="0"/>
        <v>Average Performer</v>
      </c>
    </row>
    <row r="41" spans="1:83" x14ac:dyDescent="0.3">
      <c r="A41" s="9">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c r="CE41" t="str">
        <f t="shared" si="0"/>
        <v>High Performer</v>
      </c>
    </row>
    <row r="42" spans="1:83" x14ac:dyDescent="0.3">
      <c r="A42" s="9">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c r="CE42" t="str">
        <f t="shared" si="0"/>
        <v>High Performer</v>
      </c>
    </row>
    <row r="43" spans="1:83" x14ac:dyDescent="0.3">
      <c r="A43" s="9">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c r="CE43" t="str">
        <f t="shared" si="0"/>
        <v>Low Performer</v>
      </c>
    </row>
    <row r="44" spans="1:83" x14ac:dyDescent="0.3">
      <c r="A44" s="9">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c r="CE44" t="str">
        <f t="shared" si="0"/>
        <v>Low Performer</v>
      </c>
    </row>
    <row r="45" spans="1:83" x14ac:dyDescent="0.3">
      <c r="A45" s="9">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c r="CE45" t="str">
        <f t="shared" si="0"/>
        <v>High Performer</v>
      </c>
    </row>
    <row r="46" spans="1:83" x14ac:dyDescent="0.3">
      <c r="A46" s="9">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c r="CE46" t="str">
        <f t="shared" si="0"/>
        <v>Average Performer</v>
      </c>
    </row>
    <row r="47" spans="1:83" x14ac:dyDescent="0.3">
      <c r="A47" s="9">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c r="CE47" t="str">
        <f t="shared" si="0"/>
        <v>High Performer</v>
      </c>
    </row>
    <row r="48" spans="1:83" x14ac:dyDescent="0.3">
      <c r="A48" s="9">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c r="CE48" t="str">
        <f t="shared" si="0"/>
        <v>Bottom Performer</v>
      </c>
    </row>
    <row r="49" spans="1:83" x14ac:dyDescent="0.3">
      <c r="A49" s="9">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c r="CE49" t="str">
        <f t="shared" si="0"/>
        <v>Low Performer</v>
      </c>
    </row>
    <row r="50" spans="1:83" x14ac:dyDescent="0.3">
      <c r="A50" s="9">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c r="CE50" t="str">
        <f t="shared" si="0"/>
        <v>Low Performer</v>
      </c>
    </row>
    <row r="51" spans="1:83" x14ac:dyDescent="0.3">
      <c r="A51" s="9">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c r="CE51" t="str">
        <f t="shared" si="0"/>
        <v>Low Performer</v>
      </c>
    </row>
    <row r="52" spans="1:83" x14ac:dyDescent="0.3">
      <c r="A52" s="9">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c r="CE52" t="str">
        <f t="shared" si="0"/>
        <v>High Performer</v>
      </c>
    </row>
    <row r="53" spans="1:83" x14ac:dyDescent="0.3">
      <c r="A53" s="9">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c r="CE53" t="str">
        <f t="shared" si="0"/>
        <v>High Performer</v>
      </c>
    </row>
    <row r="54" spans="1:83" x14ac:dyDescent="0.3">
      <c r="A54" s="9">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c r="CE54" t="str">
        <f t="shared" si="0"/>
        <v>Bottom Performer</v>
      </c>
    </row>
    <row r="55" spans="1:83" x14ac:dyDescent="0.3">
      <c r="A55" s="9">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c r="CE55" t="str">
        <f t="shared" si="0"/>
        <v>Low Performer</v>
      </c>
    </row>
    <row r="56" spans="1:83" x14ac:dyDescent="0.3">
      <c r="A56" s="9">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c r="CE56" t="str">
        <f t="shared" si="0"/>
        <v>High Performer</v>
      </c>
    </row>
    <row r="57" spans="1:83" x14ac:dyDescent="0.3">
      <c r="A57" s="9">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c r="CE57" t="str">
        <f t="shared" si="0"/>
        <v>Low Performer</v>
      </c>
    </row>
    <row r="58" spans="1:83" x14ac:dyDescent="0.3">
      <c r="A58" s="9">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c r="CE58" t="str">
        <f t="shared" si="0"/>
        <v>Average Performer</v>
      </c>
    </row>
    <row r="59" spans="1:83" x14ac:dyDescent="0.3">
      <c r="A59" s="9">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c r="CE59" t="str">
        <f t="shared" si="0"/>
        <v>Average Performer</v>
      </c>
    </row>
    <row r="60" spans="1:83" x14ac:dyDescent="0.3">
      <c r="A60" s="9">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c r="CE60" t="str">
        <f t="shared" si="0"/>
        <v>Bottom Performer</v>
      </c>
    </row>
    <row r="61" spans="1:83" x14ac:dyDescent="0.3">
      <c r="A61" s="9">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c r="CE61" t="str">
        <f t="shared" si="0"/>
        <v>Bottom Performer</v>
      </c>
    </row>
    <row r="62" spans="1:83" x14ac:dyDescent="0.3">
      <c r="A62" s="9">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c r="CE62" t="str">
        <f t="shared" si="0"/>
        <v>Low Performer</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K22" sqref="K22"/>
    </sheetView>
  </sheetViews>
  <sheetFormatPr defaultRowHeight="14.4" x14ac:dyDescent="0.3"/>
  <cols>
    <col min="1" max="1" width="21.5546875" bestFit="1" customWidth="1"/>
    <col min="2" max="2" width="18.109375" bestFit="1" customWidth="1"/>
    <col min="3" max="3" width="17.44140625" bestFit="1" customWidth="1"/>
    <col min="4" max="4" width="14.6640625" bestFit="1" customWidth="1"/>
    <col min="5" max="5" width="14.33203125" bestFit="1" customWidth="1"/>
    <col min="6" max="6" width="11.33203125" bestFit="1" customWidth="1"/>
  </cols>
  <sheetData>
    <row r="3" spans="1:6" x14ac:dyDescent="0.3">
      <c r="A3" s="5" t="s">
        <v>784</v>
      </c>
      <c r="B3" s="5" t="s">
        <v>783</v>
      </c>
    </row>
    <row r="4" spans="1:6" x14ac:dyDescent="0.3">
      <c r="A4" s="5" t="s">
        <v>780</v>
      </c>
      <c r="B4" t="s">
        <v>777</v>
      </c>
      <c r="C4" t="s">
        <v>779</v>
      </c>
      <c r="D4" t="s">
        <v>776</v>
      </c>
      <c r="E4" t="s">
        <v>778</v>
      </c>
      <c r="F4" t="s">
        <v>781</v>
      </c>
    </row>
    <row r="5" spans="1:6" x14ac:dyDescent="0.3">
      <c r="A5" s="6" t="s">
        <v>433</v>
      </c>
      <c r="B5" s="7">
        <v>0.14285714285714285</v>
      </c>
      <c r="C5" s="7">
        <v>0.14285714285714285</v>
      </c>
      <c r="D5" s="7">
        <v>0.2857142857142857</v>
      </c>
      <c r="E5" s="7">
        <v>0.42857142857142855</v>
      </c>
      <c r="F5" s="7">
        <v>1</v>
      </c>
    </row>
    <row r="6" spans="1:6" x14ac:dyDescent="0.3">
      <c r="A6" s="6" t="s">
        <v>85</v>
      </c>
      <c r="B6" s="7">
        <v>0.47368421052631576</v>
      </c>
      <c r="C6" s="7">
        <v>5.2631578947368418E-2</v>
      </c>
      <c r="D6" s="7">
        <v>0.21052631578947367</v>
      </c>
      <c r="E6" s="7">
        <v>0.26315789473684209</v>
      </c>
      <c r="F6" s="7">
        <v>1</v>
      </c>
    </row>
    <row r="7" spans="1:6" x14ac:dyDescent="0.3">
      <c r="A7" s="6" t="s">
        <v>169</v>
      </c>
      <c r="B7" s="7">
        <v>0.3888888888888889</v>
      </c>
      <c r="C7" s="7">
        <v>0.16666666666666666</v>
      </c>
      <c r="D7" s="7">
        <v>0.1111111111111111</v>
      </c>
      <c r="E7" s="7">
        <v>0.33333333333333331</v>
      </c>
      <c r="F7" s="7">
        <v>1</v>
      </c>
    </row>
    <row r="8" spans="1:6" x14ac:dyDescent="0.3">
      <c r="A8" s="6" t="s">
        <v>109</v>
      </c>
      <c r="B8" s="7">
        <v>0.58823529411764708</v>
      </c>
      <c r="C8" s="7">
        <v>0.17647058823529413</v>
      </c>
      <c r="D8" s="7">
        <v>0.11764705882352941</v>
      </c>
      <c r="E8" s="7">
        <v>0.11764705882352941</v>
      </c>
      <c r="F8" s="7">
        <v>1</v>
      </c>
    </row>
    <row r="9" spans="1:6" x14ac:dyDescent="0.3">
      <c r="A9" s="6" t="s">
        <v>781</v>
      </c>
      <c r="B9" s="7">
        <v>0.44262295081967212</v>
      </c>
      <c r="C9" s="7">
        <v>0.13114754098360656</v>
      </c>
      <c r="D9" s="7">
        <v>0.16393442622950818</v>
      </c>
      <c r="E9" s="7">
        <v>0.26229508196721313</v>
      </c>
      <c r="F9" s="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29" sqref="I29"/>
    </sheetView>
  </sheetViews>
  <sheetFormatPr defaultRowHeight="14.4" x14ac:dyDescent="0.3"/>
  <cols>
    <col min="1" max="1" width="13.109375" bestFit="1" customWidth="1"/>
    <col min="2" max="2" width="26.6640625" bestFit="1" customWidth="1"/>
  </cols>
  <sheetData>
    <row r="1" spans="1:2" x14ac:dyDescent="0.3">
      <c r="A1" s="5" t="s">
        <v>780</v>
      </c>
      <c r="B1" t="s">
        <v>782</v>
      </c>
    </row>
    <row r="2" spans="1:2" x14ac:dyDescent="0.3">
      <c r="A2" s="6" t="s">
        <v>433</v>
      </c>
      <c r="B2">
        <v>71.571428571428569</v>
      </c>
    </row>
    <row r="3" spans="1:2" x14ac:dyDescent="0.3">
      <c r="A3" s="6" t="s">
        <v>85</v>
      </c>
      <c r="B3">
        <v>76.736842105263165</v>
      </c>
    </row>
    <row r="4" spans="1:2" x14ac:dyDescent="0.3">
      <c r="A4" s="6" t="s">
        <v>169</v>
      </c>
      <c r="B4">
        <v>66.611111111111114</v>
      </c>
    </row>
    <row r="5" spans="1:2" x14ac:dyDescent="0.3">
      <c r="A5" s="6" t="s">
        <v>109</v>
      </c>
      <c r="B5">
        <v>71.82352941176471</v>
      </c>
    </row>
    <row r="6" spans="1:2" x14ac:dyDescent="0.3">
      <c r="A6" s="6" t="s">
        <v>781</v>
      </c>
      <c r="B6">
        <v>71.786885245901644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D357B-F6D3-4417-A951-8AD413C78137}">
  <dimension ref="A1:B6"/>
  <sheetViews>
    <sheetView zoomScale="78" workbookViewId="0">
      <selection activeCell="B28" sqref="B28"/>
    </sheetView>
  </sheetViews>
  <sheetFormatPr defaultRowHeight="14.4" x14ac:dyDescent="0.3"/>
  <cols>
    <col min="1" max="1" width="12.5546875" bestFit="1" customWidth="1"/>
    <col min="2" max="2" width="25.5546875" bestFit="1" customWidth="1"/>
  </cols>
  <sheetData>
    <row r="1" spans="1:2" x14ac:dyDescent="0.3">
      <c r="A1" s="5" t="s">
        <v>780</v>
      </c>
      <c r="B1" t="s">
        <v>782</v>
      </c>
    </row>
    <row r="2" spans="1:2" x14ac:dyDescent="0.3">
      <c r="A2" s="6" t="s">
        <v>433</v>
      </c>
      <c r="B2">
        <v>71.571428571428569</v>
      </c>
    </row>
    <row r="3" spans="1:2" x14ac:dyDescent="0.3">
      <c r="A3" s="6" t="s">
        <v>85</v>
      </c>
      <c r="B3">
        <v>76.736842105263165</v>
      </c>
    </row>
    <row r="4" spans="1:2" x14ac:dyDescent="0.3">
      <c r="A4" s="6" t="s">
        <v>169</v>
      </c>
      <c r="B4">
        <v>66.611111111111114</v>
      </c>
    </row>
    <row r="5" spans="1:2" x14ac:dyDescent="0.3">
      <c r="A5" s="6" t="s">
        <v>109</v>
      </c>
      <c r="B5">
        <v>71.82352941176471</v>
      </c>
    </row>
    <row r="6" spans="1:2" x14ac:dyDescent="0.3">
      <c r="A6" s="6" t="s">
        <v>781</v>
      </c>
      <c r="B6">
        <v>71.786885245901644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FA31D-1626-4899-9A6A-B77F702C2347}">
  <dimension ref="A1:F7"/>
  <sheetViews>
    <sheetView workbookViewId="0">
      <selection activeCell="I21" sqref="I21"/>
    </sheetView>
  </sheetViews>
  <sheetFormatPr defaultRowHeight="14.4" x14ac:dyDescent="0.3"/>
  <cols>
    <col min="1" max="1" width="25.5546875" bestFit="1" customWidth="1"/>
    <col min="2" max="2" width="17" bestFit="1" customWidth="1"/>
    <col min="3" max="3" width="16.44140625" bestFit="1" customWidth="1"/>
    <col min="4" max="4" width="13.88671875" bestFit="1" customWidth="1"/>
    <col min="5" max="5" width="13.5546875" bestFit="1" customWidth="1"/>
    <col min="6" max="7" width="10.77734375" bestFit="1" customWidth="1"/>
  </cols>
  <sheetData>
    <row r="1" spans="1:6" x14ac:dyDescent="0.3">
      <c r="A1" s="5" t="s">
        <v>786</v>
      </c>
      <c r="B1" s="5" t="s">
        <v>783</v>
      </c>
    </row>
    <row r="2" spans="1:6" x14ac:dyDescent="0.3">
      <c r="A2" s="5" t="s">
        <v>780</v>
      </c>
      <c r="B2" t="s">
        <v>777</v>
      </c>
      <c r="C2" t="s">
        <v>779</v>
      </c>
      <c r="D2" t="s">
        <v>776</v>
      </c>
      <c r="E2" t="s">
        <v>778</v>
      </c>
      <c r="F2" t="s">
        <v>781</v>
      </c>
    </row>
    <row r="3" spans="1:6" x14ac:dyDescent="0.3">
      <c r="A3" s="6" t="s">
        <v>433</v>
      </c>
      <c r="B3" s="7">
        <v>0.14285714285714285</v>
      </c>
      <c r="C3" s="7">
        <v>0.14285714285714285</v>
      </c>
      <c r="D3" s="7">
        <v>0.2857142857142857</v>
      </c>
      <c r="E3" s="7">
        <v>0.42857142857142855</v>
      </c>
      <c r="F3" s="7">
        <v>1</v>
      </c>
    </row>
    <row r="4" spans="1:6" x14ac:dyDescent="0.3">
      <c r="A4" s="6" t="s">
        <v>85</v>
      </c>
      <c r="B4" s="7">
        <v>0.47368421052631576</v>
      </c>
      <c r="C4" s="7">
        <v>5.2631578947368418E-2</v>
      </c>
      <c r="D4" s="7">
        <v>0.21052631578947367</v>
      </c>
      <c r="E4" s="7">
        <v>0.26315789473684209</v>
      </c>
      <c r="F4" s="7">
        <v>1</v>
      </c>
    </row>
    <row r="5" spans="1:6" x14ac:dyDescent="0.3">
      <c r="A5" s="6" t="s">
        <v>169</v>
      </c>
      <c r="B5" s="7">
        <v>0.3888888888888889</v>
      </c>
      <c r="C5" s="7">
        <v>0.16666666666666666</v>
      </c>
      <c r="D5" s="7">
        <v>0.1111111111111111</v>
      </c>
      <c r="E5" s="7">
        <v>0.33333333333333331</v>
      </c>
      <c r="F5" s="7">
        <v>1</v>
      </c>
    </row>
    <row r="6" spans="1:6" x14ac:dyDescent="0.3">
      <c r="A6" s="6" t="s">
        <v>109</v>
      </c>
      <c r="B6" s="7">
        <v>0.58823529411764708</v>
      </c>
      <c r="C6" s="7">
        <v>0.17647058823529413</v>
      </c>
      <c r="D6" s="7">
        <v>0.11764705882352941</v>
      </c>
      <c r="E6" s="7">
        <v>0.11764705882352941</v>
      </c>
      <c r="F6" s="7">
        <v>1</v>
      </c>
    </row>
    <row r="7" spans="1:6" x14ac:dyDescent="0.3">
      <c r="A7" s="6" t="s">
        <v>781</v>
      </c>
      <c r="B7" s="7">
        <v>0.44262295081967212</v>
      </c>
      <c r="C7" s="7">
        <v>0.13114754098360656</v>
      </c>
      <c r="D7" s="7">
        <v>0.16393442622950818</v>
      </c>
      <c r="E7" s="7">
        <v>0.26229508196721313</v>
      </c>
      <c r="F7" s="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1164-CA96-4685-A57D-CD73484FF49D}">
  <dimension ref="A1:B5"/>
  <sheetViews>
    <sheetView workbookViewId="0">
      <selection activeCell="R18" sqref="R18"/>
    </sheetView>
  </sheetViews>
  <sheetFormatPr defaultRowHeight="14.4" x14ac:dyDescent="0.3"/>
  <cols>
    <col min="1" max="1" width="12.21875" customWidth="1"/>
    <col min="2" max="2" width="15.6640625" customWidth="1"/>
  </cols>
  <sheetData>
    <row r="1" spans="1:2" x14ac:dyDescent="0.3">
      <c r="A1" s="10" t="s">
        <v>780</v>
      </c>
      <c r="B1" s="10" t="s">
        <v>776</v>
      </c>
    </row>
    <row r="2" spans="1:2" x14ac:dyDescent="0.3">
      <c r="A2" s="6" t="s">
        <v>433</v>
      </c>
      <c r="B2" s="7">
        <v>0.2857142857142857</v>
      </c>
    </row>
    <row r="3" spans="1:2" x14ac:dyDescent="0.3">
      <c r="A3" s="6" t="s">
        <v>85</v>
      </c>
      <c r="B3" s="7">
        <v>0.21052631578947367</v>
      </c>
    </row>
    <row r="4" spans="1:2" x14ac:dyDescent="0.3">
      <c r="A4" s="6" t="s">
        <v>169</v>
      </c>
      <c r="B4" s="7">
        <v>0.1111111111111111</v>
      </c>
    </row>
    <row r="5" spans="1:2" x14ac:dyDescent="0.3">
      <c r="A5" s="6" t="s">
        <v>109</v>
      </c>
      <c r="B5" s="7">
        <v>0.11764705882352941</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75E0-0D0F-4E2D-A21F-EC691F9BE46C}">
  <dimension ref="A3:B26"/>
  <sheetViews>
    <sheetView workbookViewId="0">
      <selection activeCell="N18" sqref="N18"/>
    </sheetView>
  </sheetViews>
  <sheetFormatPr defaultRowHeight="14.4" x14ac:dyDescent="0.3"/>
  <cols>
    <col min="1" max="1" width="12.5546875" bestFit="1" customWidth="1"/>
    <col min="2" max="2" width="25.5546875" bestFit="1" customWidth="1"/>
  </cols>
  <sheetData>
    <row r="3" spans="1:2" x14ac:dyDescent="0.3">
      <c r="A3" s="11" t="s">
        <v>780</v>
      </c>
      <c r="B3" s="12" t="s">
        <v>782</v>
      </c>
    </row>
    <row r="4" spans="1:2" x14ac:dyDescent="0.3">
      <c r="A4" s="13" t="s">
        <v>82</v>
      </c>
      <c r="B4" s="12">
        <v>58</v>
      </c>
    </row>
    <row r="5" spans="1:2" x14ac:dyDescent="0.3">
      <c r="A5" s="13" t="s">
        <v>140</v>
      </c>
      <c r="B5" s="12">
        <v>68.5</v>
      </c>
    </row>
    <row r="6" spans="1:2" x14ac:dyDescent="0.3">
      <c r="A6" s="13" t="s">
        <v>454</v>
      </c>
      <c r="B6" s="12">
        <v>85.666666666666671</v>
      </c>
    </row>
    <row r="7" spans="1:2" x14ac:dyDescent="0.3">
      <c r="A7" s="13" t="s">
        <v>106</v>
      </c>
      <c r="B7" s="12">
        <v>72.333333333333329</v>
      </c>
    </row>
    <row r="8" spans="1:2" x14ac:dyDescent="0.3">
      <c r="A8" s="13" t="s">
        <v>329</v>
      </c>
      <c r="B8" s="12">
        <v>78</v>
      </c>
    </row>
    <row r="9" spans="1:2" x14ac:dyDescent="0.3">
      <c r="A9" s="13" t="s">
        <v>195</v>
      </c>
      <c r="B9" s="12">
        <v>73</v>
      </c>
    </row>
    <row r="10" spans="1:2" x14ac:dyDescent="0.3">
      <c r="A10" s="13" t="s">
        <v>166</v>
      </c>
      <c r="B10" s="12">
        <v>83.333333333333329</v>
      </c>
    </row>
    <row r="11" spans="1:2" x14ac:dyDescent="0.3">
      <c r="A11" s="13" t="s">
        <v>305</v>
      </c>
      <c r="B11" s="12">
        <v>63.5</v>
      </c>
    </row>
    <row r="12" spans="1:2" x14ac:dyDescent="0.3">
      <c r="A12" s="13" t="s">
        <v>125</v>
      </c>
      <c r="B12" s="12">
        <v>72</v>
      </c>
    </row>
    <row r="13" spans="1:2" x14ac:dyDescent="0.3">
      <c r="A13" s="13" t="s">
        <v>258</v>
      </c>
      <c r="B13" s="12">
        <v>66</v>
      </c>
    </row>
    <row r="14" spans="1:2" x14ac:dyDescent="0.3">
      <c r="A14" s="13" t="s">
        <v>634</v>
      </c>
      <c r="B14" s="12">
        <v>69</v>
      </c>
    </row>
    <row r="15" spans="1:2" x14ac:dyDescent="0.3">
      <c r="A15" s="13" t="s">
        <v>599</v>
      </c>
      <c r="B15" s="12">
        <v>86</v>
      </c>
    </row>
    <row r="16" spans="1:2" x14ac:dyDescent="0.3">
      <c r="A16" s="13" t="s">
        <v>153</v>
      </c>
      <c r="B16" s="12">
        <v>69.333333333333329</v>
      </c>
    </row>
    <row r="17" spans="1:2" x14ac:dyDescent="0.3">
      <c r="A17" s="13" t="s">
        <v>563</v>
      </c>
      <c r="B17" s="12">
        <v>52</v>
      </c>
    </row>
    <row r="18" spans="1:2" x14ac:dyDescent="0.3">
      <c r="A18" s="13" t="s">
        <v>487</v>
      </c>
      <c r="B18" s="12">
        <v>90.666666666666671</v>
      </c>
    </row>
    <row r="19" spans="1:2" x14ac:dyDescent="0.3">
      <c r="A19" s="13" t="s">
        <v>529</v>
      </c>
      <c r="B19" s="12">
        <v>71</v>
      </c>
    </row>
    <row r="20" spans="1:2" x14ac:dyDescent="0.3">
      <c r="A20" s="13" t="s">
        <v>443</v>
      </c>
      <c r="B20" s="12">
        <v>69</v>
      </c>
    </row>
    <row r="21" spans="1:2" x14ac:dyDescent="0.3">
      <c r="A21" s="13" t="s">
        <v>693</v>
      </c>
      <c r="B21" s="12">
        <v>53</v>
      </c>
    </row>
    <row r="22" spans="1:2" x14ac:dyDescent="0.3">
      <c r="A22" s="13" t="s">
        <v>702</v>
      </c>
      <c r="B22" s="12">
        <v>94</v>
      </c>
    </row>
    <row r="23" spans="1:2" x14ac:dyDescent="0.3">
      <c r="A23" s="13" t="s">
        <v>716</v>
      </c>
      <c r="B23" s="12">
        <v>74.5</v>
      </c>
    </row>
    <row r="24" spans="1:2" x14ac:dyDescent="0.3">
      <c r="A24" s="13" t="s">
        <v>764</v>
      </c>
      <c r="B24" s="12">
        <v>65</v>
      </c>
    </row>
    <row r="25" spans="1:2" x14ac:dyDescent="0.3">
      <c r="A25" s="13" t="s">
        <v>736</v>
      </c>
      <c r="B25" s="12">
        <v>48.333333333333336</v>
      </c>
    </row>
    <row r="26" spans="1:2" x14ac:dyDescent="0.3">
      <c r="A26" s="13" t="s">
        <v>781</v>
      </c>
      <c r="B26" s="12">
        <v>71.786885245901644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9F0B-A972-41AA-A85D-D033E75C5E99}">
  <dimension ref="A3:I8"/>
  <sheetViews>
    <sheetView zoomScale="63" workbookViewId="0">
      <selection activeCell="D13" sqref="D13"/>
    </sheetView>
  </sheetViews>
  <sheetFormatPr defaultRowHeight="14.4" x14ac:dyDescent="0.3"/>
  <cols>
    <col min="1" max="1" width="14.5546875" bestFit="1" customWidth="1"/>
    <col min="2" max="2" width="29.5546875" bestFit="1" customWidth="1"/>
    <col min="3" max="3" width="32.21875" bestFit="1" customWidth="1"/>
    <col min="4" max="4" width="37.33203125" bestFit="1" customWidth="1"/>
    <col min="5" max="5" width="27.77734375" bestFit="1" customWidth="1"/>
    <col min="6" max="6" width="21.6640625" bestFit="1" customWidth="1"/>
    <col min="7" max="7" width="31.109375" bestFit="1" customWidth="1"/>
    <col min="8" max="8" width="26.88671875" bestFit="1" customWidth="1"/>
    <col min="9" max="9" width="30.77734375" bestFit="1" customWidth="1"/>
  </cols>
  <sheetData>
    <row r="3" spans="1:9" x14ac:dyDescent="0.3">
      <c r="A3" s="14" t="s">
        <v>780</v>
      </c>
      <c r="B3" s="15" t="s">
        <v>788</v>
      </c>
      <c r="C3" s="15" t="s">
        <v>789</v>
      </c>
      <c r="D3" s="15" t="s">
        <v>793</v>
      </c>
      <c r="E3" s="15" t="s">
        <v>794</v>
      </c>
      <c r="F3" s="15" t="s">
        <v>787</v>
      </c>
      <c r="G3" s="15" t="s">
        <v>792</v>
      </c>
      <c r="H3" s="15" t="s">
        <v>791</v>
      </c>
      <c r="I3" s="15" t="s">
        <v>790</v>
      </c>
    </row>
    <row r="4" spans="1:9" x14ac:dyDescent="0.3">
      <c r="A4" s="16" t="s">
        <v>433</v>
      </c>
      <c r="B4" s="15">
        <v>81.714285714285708</v>
      </c>
      <c r="C4" s="15">
        <v>80.857142857142861</v>
      </c>
      <c r="D4" s="15">
        <v>68</v>
      </c>
      <c r="E4" s="15">
        <v>90.571428571428569</v>
      </c>
      <c r="F4" s="15">
        <v>45.714285714285715</v>
      </c>
      <c r="G4" s="15">
        <v>71.428571428571431</v>
      </c>
      <c r="H4" s="15">
        <v>55</v>
      </c>
      <c r="I4" s="15">
        <v>71.285714285714292</v>
      </c>
    </row>
    <row r="5" spans="1:9" x14ac:dyDescent="0.3">
      <c r="A5" s="16" t="s">
        <v>85</v>
      </c>
      <c r="B5" s="15">
        <v>82.315789473684205</v>
      </c>
      <c r="C5" s="15">
        <v>66.684210526315795</v>
      </c>
      <c r="D5" s="15">
        <v>75.21052631578948</v>
      </c>
      <c r="E5" s="15">
        <v>93.05263157894737</v>
      </c>
      <c r="F5" s="15">
        <v>80</v>
      </c>
      <c r="G5" s="15">
        <v>89.473684210526315</v>
      </c>
      <c r="H5" s="15">
        <v>63.789473684210527</v>
      </c>
      <c r="I5" s="15">
        <v>63.157894736842103</v>
      </c>
    </row>
    <row r="6" spans="1:9" x14ac:dyDescent="0.3">
      <c r="A6" s="16" t="s">
        <v>169</v>
      </c>
      <c r="B6" s="15">
        <v>81</v>
      </c>
      <c r="C6" s="15">
        <v>81.5</v>
      </c>
      <c r="D6" s="15">
        <v>51.611111111111114</v>
      </c>
      <c r="E6" s="15">
        <v>86.555555555555557</v>
      </c>
      <c r="F6" s="15">
        <v>62.222222222222221</v>
      </c>
      <c r="G6" s="15">
        <v>77.777777777777771</v>
      </c>
      <c r="H6" s="15">
        <v>49.111111111111114</v>
      </c>
      <c r="I6" s="15">
        <v>53.666666666666664</v>
      </c>
    </row>
    <row r="7" spans="1:9" x14ac:dyDescent="0.3">
      <c r="A7" s="16" t="s">
        <v>109</v>
      </c>
      <c r="B7" s="15">
        <v>84.941176470588232</v>
      </c>
      <c r="C7" s="15">
        <v>80.470588235294116</v>
      </c>
      <c r="D7" s="15">
        <v>67.82352941176471</v>
      </c>
      <c r="E7" s="15">
        <v>85.764705882352942</v>
      </c>
      <c r="F7" s="15">
        <v>68.235294117647058</v>
      </c>
      <c r="G7" s="15">
        <v>82.352941176470594</v>
      </c>
      <c r="H7" s="15">
        <v>52</v>
      </c>
      <c r="I7" s="15">
        <v>58.823529411764703</v>
      </c>
    </row>
    <row r="8" spans="1:9" x14ac:dyDescent="0.3">
      <c r="A8" s="16" t="s">
        <v>781</v>
      </c>
      <c r="B8" s="15">
        <v>82.590163934426229</v>
      </c>
      <c r="C8" s="15">
        <v>76.52459016393442</v>
      </c>
      <c r="D8" s="15">
        <v>65.360655737704917</v>
      </c>
      <c r="E8" s="15">
        <v>88.819672131147541</v>
      </c>
      <c r="F8" s="15">
        <v>67.540983606557376</v>
      </c>
      <c r="G8" s="15">
        <v>81.967213114754102</v>
      </c>
      <c r="H8" s="15">
        <v>55.16393442622951</v>
      </c>
      <c r="I8" s="15">
        <v>60.081967213114751</v>
      </c>
    </row>
  </sheetData>
  <conditionalFormatting pivot="1" sqref="B4:I8">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0D4CC-F811-4F38-ADCB-CA631F219D37}">
  <dimension ref="A3:B8"/>
  <sheetViews>
    <sheetView tabSelected="1" workbookViewId="0">
      <selection activeCell="M9" sqref="M9"/>
    </sheetView>
  </sheetViews>
  <sheetFormatPr defaultRowHeight="14.4" x14ac:dyDescent="0.3"/>
  <cols>
    <col min="1" max="1" width="16.44140625" bestFit="1" customWidth="1"/>
    <col min="2" max="2" width="25.5546875" bestFit="1" customWidth="1"/>
  </cols>
  <sheetData>
    <row r="3" spans="1:2" x14ac:dyDescent="0.3">
      <c r="A3" s="11" t="s">
        <v>780</v>
      </c>
      <c r="B3" s="12" t="s">
        <v>782</v>
      </c>
    </row>
    <row r="4" spans="1:2" x14ac:dyDescent="0.3">
      <c r="A4" s="13" t="s">
        <v>777</v>
      </c>
      <c r="B4" s="12">
        <v>79.962962962962962</v>
      </c>
    </row>
    <row r="5" spans="1:2" x14ac:dyDescent="0.3">
      <c r="A5" s="13" t="s">
        <v>779</v>
      </c>
      <c r="B5" s="12">
        <v>35.625</v>
      </c>
    </row>
    <row r="6" spans="1:2" x14ac:dyDescent="0.3">
      <c r="A6" s="13" t="s">
        <v>776</v>
      </c>
      <c r="B6" s="12">
        <v>94</v>
      </c>
    </row>
    <row r="7" spans="1:2" x14ac:dyDescent="0.3">
      <c r="A7" s="13" t="s">
        <v>778</v>
      </c>
      <c r="B7" s="12">
        <v>62.1875</v>
      </c>
    </row>
    <row r="8" spans="1:2" x14ac:dyDescent="0.3">
      <c r="A8" s="13" t="s">
        <v>781</v>
      </c>
      <c r="B8" s="12">
        <v>71.786885245901644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CX_Junior BI Analyst_Test</vt:lpstr>
      <vt:lpstr>Qs)Part-3</vt:lpstr>
      <vt:lpstr>Qs)Part-4 Visualizations-1</vt:lpstr>
      <vt:lpstr>Average Evaluation Score by Zon</vt:lpstr>
      <vt:lpstr>Performance Grade</vt:lpstr>
      <vt:lpstr>percentage of high performer</vt:lpstr>
      <vt:lpstr>Evaluation score over time</vt:lpstr>
      <vt:lpstr>Heatmap </vt:lpstr>
      <vt:lpstr>grade performance comparision</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Neeraj Taneja</cp:lastModifiedBy>
  <cp:revision/>
  <dcterms:created xsi:type="dcterms:W3CDTF">2024-01-18T01:14:11Z</dcterms:created>
  <dcterms:modified xsi:type="dcterms:W3CDTF">2026-10-10T08:55:05Z</dcterms:modified>
</cp:coreProperties>
</file>